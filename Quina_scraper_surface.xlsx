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Quina_valleys\"/>
    </mc:Choice>
  </mc:AlternateContent>
  <xr:revisionPtr revIDLastSave="0" documentId="13_ncr:1_{6AE907B8-AEE4-4307-8423-30A8E8895E16}" xr6:coauthVersionLast="47" xr6:coauthVersionMax="47" xr10:uidLastSave="{00000000-0000-0000-0000-000000000000}"/>
  <bookViews>
    <workbookView xWindow="-108" yWindow="-108" windowWidth="30936" windowHeight="18696" xr2:uid="{51F75AC8-9BCC-468F-8814-35286D6AD1E7}"/>
  </bookViews>
  <sheets>
    <sheet name="Quina scraper" sheetId="5" r:id="rId1"/>
    <sheet name="Resharpening flake" sheetId="2" r:id="rId2"/>
  </sheets>
  <definedNames>
    <definedName name="_xlnm._FilterDatabase" localSheetId="0" hidden="1">'Quina scraper'!$A$1:$AW$167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" i="5" l="1"/>
  <c r="AV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2" i="5"/>
  <c r="AG128" i="5"/>
  <c r="AG129" i="5"/>
  <c r="AG130" i="5"/>
  <c r="AG132" i="5"/>
  <c r="AG135" i="5"/>
  <c r="AG137" i="5"/>
  <c r="AG145" i="5"/>
  <c r="AG152" i="5"/>
  <c r="AG153" i="5"/>
  <c r="AG155" i="5"/>
  <c r="AG127" i="5"/>
  <c r="Z130" i="5"/>
  <c r="Z120" i="5"/>
  <c r="Z110" i="5"/>
  <c r="Z107" i="5"/>
  <c r="Z106" i="5"/>
  <c r="Z104" i="5"/>
  <c r="Z70" i="5"/>
  <c r="Z60" i="5"/>
  <c r="Z50" i="5"/>
  <c r="Z8" i="5"/>
  <c r="Z11" i="5"/>
  <c r="Z12" i="5"/>
  <c r="Z13" i="5"/>
  <c r="Z16" i="5"/>
  <c r="Z17" i="5"/>
  <c r="Z18" i="5"/>
  <c r="Z23" i="5"/>
  <c r="Z25" i="5"/>
  <c r="Z33" i="5"/>
  <c r="Z37" i="5"/>
  <c r="Z38" i="5"/>
  <c r="Z44" i="5"/>
  <c r="Z51" i="5"/>
  <c r="Z52" i="5"/>
  <c r="Z53" i="5"/>
  <c r="Z54" i="5"/>
  <c r="Z56" i="5"/>
  <c r="Z59" i="5"/>
  <c r="Z61" i="5"/>
  <c r="Z64" i="5"/>
  <c r="Z66" i="5"/>
  <c r="Z68" i="5"/>
  <c r="Z72" i="5"/>
  <c r="Z74" i="5"/>
  <c r="Z77" i="5"/>
  <c r="Z78" i="5"/>
  <c r="Z82" i="5"/>
  <c r="Z83" i="5"/>
  <c r="Z87" i="5"/>
  <c r="Z98" i="5"/>
  <c r="Z99" i="5"/>
  <c r="Z114" i="5"/>
  <c r="Z117" i="5"/>
  <c r="Z127" i="5"/>
  <c r="Z128" i="5"/>
  <c r="Z129" i="5"/>
  <c r="Z131" i="5"/>
  <c r="Z132" i="5"/>
  <c r="Z133" i="5"/>
  <c r="Z134" i="5"/>
  <c r="Z135" i="5"/>
  <c r="Z136" i="5"/>
  <c r="Z137" i="5"/>
  <c r="Z141" i="5"/>
  <c r="Z145" i="5"/>
  <c r="Z152" i="5"/>
  <c r="Z153" i="5"/>
  <c r="Z154" i="5"/>
  <c r="Z155" i="5"/>
  <c r="Z156" i="5"/>
  <c r="Z157" i="5"/>
  <c r="Z161" i="5"/>
  <c r="Z5" i="5"/>
  <c r="AL3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2" i="5"/>
  <c r="AQ3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2" i="5"/>
  <c r="AM3" i="5" l="1"/>
  <c r="AM4" i="5"/>
  <c r="AM5" i="5"/>
  <c r="AM6" i="5"/>
  <c r="AM7" i="5"/>
  <c r="AM9" i="5"/>
  <c r="AM10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8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2" i="5"/>
  <c r="AM11" i="5"/>
</calcChain>
</file>

<file path=xl/sharedStrings.xml><?xml version="1.0" encoding="utf-8"?>
<sst xmlns="http://schemas.openxmlformats.org/spreadsheetml/2006/main" count="1697" uniqueCount="328">
  <si>
    <t>2022.10.BC.MHD-1</t>
    <phoneticPr fontId="1" type="noConversion"/>
  </si>
  <si>
    <t>13THD T1-110</t>
    <phoneticPr fontId="1" type="noConversion"/>
  </si>
  <si>
    <t>13DY2-2</t>
    <phoneticPr fontId="1" type="noConversion"/>
  </si>
  <si>
    <t>13BJWL-350</t>
    <phoneticPr fontId="1" type="noConversion"/>
  </si>
  <si>
    <t>16SP-418</t>
    <phoneticPr fontId="1" type="noConversion"/>
  </si>
  <si>
    <t>10BJWG-78</t>
    <phoneticPr fontId="1" type="noConversion"/>
  </si>
  <si>
    <t>13THD-712</t>
    <phoneticPr fontId="1" type="noConversion"/>
  </si>
  <si>
    <t>16SP-93</t>
    <phoneticPr fontId="1" type="noConversion"/>
  </si>
  <si>
    <t>10BJWG-26</t>
    <phoneticPr fontId="1" type="noConversion"/>
  </si>
  <si>
    <t>2022.9.BC.PJDD-5</t>
    <phoneticPr fontId="1" type="noConversion"/>
  </si>
  <si>
    <t>10DZ-23</t>
    <phoneticPr fontId="1" type="noConversion"/>
  </si>
  <si>
    <t>10BJWG-42</t>
    <phoneticPr fontId="1" type="noConversion"/>
  </si>
  <si>
    <t>16DZ-1</t>
    <phoneticPr fontId="1" type="noConversion"/>
  </si>
  <si>
    <t>13BJWG-31</t>
    <phoneticPr fontId="1" type="noConversion"/>
  </si>
  <si>
    <t>13GJY-2</t>
    <phoneticPr fontId="1" type="noConversion"/>
  </si>
  <si>
    <t>13THD-17</t>
    <phoneticPr fontId="1" type="noConversion"/>
  </si>
  <si>
    <t>2022.10.BC.MHLZ-17</t>
    <phoneticPr fontId="1" type="noConversion"/>
  </si>
  <si>
    <t>13THD-510</t>
    <phoneticPr fontId="1" type="noConversion"/>
  </si>
  <si>
    <t>13THD-706</t>
    <phoneticPr fontId="1" type="noConversion"/>
  </si>
  <si>
    <t>13THD-1303</t>
    <phoneticPr fontId="1" type="noConversion"/>
  </si>
  <si>
    <t>13BJWL-540</t>
    <phoneticPr fontId="1" type="noConversion"/>
  </si>
  <si>
    <t>16SP-39</t>
    <phoneticPr fontId="1" type="noConversion"/>
  </si>
  <si>
    <t>13BJWL-26</t>
    <phoneticPr fontId="1" type="noConversion"/>
  </si>
  <si>
    <t>16SP-44</t>
    <phoneticPr fontId="1" type="noConversion"/>
  </si>
  <si>
    <t>2022.10.BC.DPD.LOC2-6</t>
    <phoneticPr fontId="1" type="noConversion"/>
  </si>
  <si>
    <t>2022.10BC.DNB-22</t>
    <phoneticPr fontId="1" type="noConversion"/>
  </si>
  <si>
    <t>2022.10.BC.ZXYLZ-11</t>
    <phoneticPr fontId="1" type="noConversion"/>
  </si>
  <si>
    <t>2022.10.BC.NNT-2</t>
    <phoneticPr fontId="1" type="noConversion"/>
  </si>
  <si>
    <t>2022.10.BC.DPD.LOC1-7</t>
    <phoneticPr fontId="1" type="noConversion"/>
  </si>
  <si>
    <t>2022.10.BC.LZ-7</t>
    <phoneticPr fontId="1" type="noConversion"/>
  </si>
  <si>
    <t>13DZ-109</t>
    <phoneticPr fontId="1" type="noConversion"/>
  </si>
  <si>
    <t>13DZ-45</t>
    <phoneticPr fontId="1" type="noConversion"/>
  </si>
  <si>
    <t>13DZ-107</t>
    <phoneticPr fontId="1" type="noConversion"/>
  </si>
  <si>
    <t>13BJWL-209</t>
    <phoneticPr fontId="1" type="noConversion"/>
  </si>
  <si>
    <t>13THD-1268</t>
    <phoneticPr fontId="1" type="noConversion"/>
  </si>
  <si>
    <t>16BJWG-2</t>
    <phoneticPr fontId="1" type="noConversion"/>
  </si>
  <si>
    <t>13THD-1128</t>
    <phoneticPr fontId="1" type="noConversion"/>
  </si>
  <si>
    <t>13BJWL-524</t>
    <phoneticPr fontId="1" type="noConversion"/>
  </si>
  <si>
    <t>10THD-10</t>
    <phoneticPr fontId="1" type="noConversion"/>
  </si>
  <si>
    <t>13THD-1300</t>
    <phoneticPr fontId="1" type="noConversion"/>
  </si>
  <si>
    <t>13THD-1226</t>
    <phoneticPr fontId="1" type="noConversion"/>
  </si>
  <si>
    <t>16BJWG-57</t>
    <phoneticPr fontId="1" type="noConversion"/>
  </si>
  <si>
    <t>13THD-1276</t>
    <phoneticPr fontId="1" type="noConversion"/>
  </si>
  <si>
    <t>2022.10.BC.STWYK-15</t>
    <phoneticPr fontId="1" type="noConversion"/>
  </si>
  <si>
    <t>13THD-1224</t>
    <phoneticPr fontId="1" type="noConversion"/>
  </si>
  <si>
    <t>13BJWG-197</t>
    <phoneticPr fontId="1" type="noConversion"/>
  </si>
  <si>
    <t>16XC-3</t>
    <phoneticPr fontId="1" type="noConversion"/>
  </si>
  <si>
    <t>16SP-75</t>
    <phoneticPr fontId="1" type="noConversion"/>
  </si>
  <si>
    <t>16BJWG-1</t>
    <phoneticPr fontId="1" type="noConversion"/>
  </si>
  <si>
    <t>13THD T1-196</t>
    <phoneticPr fontId="1" type="noConversion"/>
  </si>
  <si>
    <t>10THD-1</t>
    <phoneticPr fontId="1" type="noConversion"/>
  </si>
  <si>
    <t>2022.9.BC.SW-14</t>
    <phoneticPr fontId="1" type="noConversion"/>
  </si>
  <si>
    <t>16SP-89</t>
    <phoneticPr fontId="1" type="noConversion"/>
  </si>
  <si>
    <t>16BJWG-3</t>
    <phoneticPr fontId="1" type="noConversion"/>
  </si>
  <si>
    <t>2022.10.BC.WYW-38</t>
    <phoneticPr fontId="1" type="noConversion"/>
  </si>
  <si>
    <t>13THD-618</t>
    <phoneticPr fontId="1" type="noConversion"/>
  </si>
  <si>
    <t>13THD-373</t>
    <phoneticPr fontId="1" type="noConversion"/>
  </si>
  <si>
    <t>16XC-5</t>
    <phoneticPr fontId="1" type="noConversion"/>
  </si>
  <si>
    <t>16SP-91</t>
    <phoneticPr fontId="1" type="noConversion"/>
  </si>
  <si>
    <t>10DZ-30</t>
    <phoneticPr fontId="1" type="noConversion"/>
  </si>
  <si>
    <t>13BJWL-599</t>
    <phoneticPr fontId="1" type="noConversion"/>
  </si>
  <si>
    <t>13THD-614</t>
    <phoneticPr fontId="1" type="noConversion"/>
  </si>
  <si>
    <t>13BJWL-435</t>
    <phoneticPr fontId="1" type="noConversion"/>
  </si>
  <si>
    <t>13THD-486</t>
    <phoneticPr fontId="1" type="noConversion"/>
  </si>
  <si>
    <t>2022.9.BC.ZKZ-10</t>
    <phoneticPr fontId="1" type="noConversion"/>
  </si>
  <si>
    <t>10THD-61</t>
    <phoneticPr fontId="1" type="noConversion"/>
  </si>
  <si>
    <t>13THD-295</t>
    <phoneticPr fontId="1" type="noConversion"/>
  </si>
  <si>
    <t>2022.10.BC.ZJLZ-14</t>
    <phoneticPr fontId="1" type="noConversion"/>
  </si>
  <si>
    <t>13DY-3-13</t>
    <phoneticPr fontId="1" type="noConversion"/>
  </si>
  <si>
    <t>2022.10.BC.MHD-11</t>
    <phoneticPr fontId="1" type="noConversion"/>
  </si>
  <si>
    <t>2022.10.BC.WYW-44</t>
    <phoneticPr fontId="1" type="noConversion"/>
  </si>
  <si>
    <t>13THD-596</t>
    <phoneticPr fontId="1" type="noConversion"/>
  </si>
  <si>
    <t>2022.10.BC.STWYK-4</t>
    <phoneticPr fontId="1" type="noConversion"/>
  </si>
  <si>
    <t>2022.9.BC.WGQ-1</t>
    <phoneticPr fontId="1" type="noConversion"/>
  </si>
  <si>
    <t>2022.10.BC.ZJLZ-15</t>
    <phoneticPr fontId="1" type="noConversion"/>
  </si>
  <si>
    <t>13BJWL-278</t>
    <phoneticPr fontId="1" type="noConversion"/>
  </si>
  <si>
    <t>13THD-1111</t>
    <phoneticPr fontId="1" type="noConversion"/>
  </si>
  <si>
    <t>16BJWG-16</t>
    <phoneticPr fontId="1" type="noConversion"/>
  </si>
  <si>
    <t>13BJWG-211</t>
    <phoneticPr fontId="1" type="noConversion"/>
  </si>
  <si>
    <t>2022.9.BC.YJQ-16</t>
    <phoneticPr fontId="1" type="noConversion"/>
  </si>
  <si>
    <t>2022.10.BC.CF-19</t>
    <phoneticPr fontId="1" type="noConversion"/>
  </si>
  <si>
    <t>10BJWG-1</t>
    <phoneticPr fontId="1" type="noConversion"/>
  </si>
  <si>
    <t>16BJWG-13</t>
    <phoneticPr fontId="1" type="noConversion"/>
  </si>
  <si>
    <t>13THD-91</t>
    <phoneticPr fontId="1" type="noConversion"/>
  </si>
  <si>
    <t>10BJWG-51</t>
    <phoneticPr fontId="1" type="noConversion"/>
  </si>
  <si>
    <t>16SP-97</t>
    <phoneticPr fontId="1" type="noConversion"/>
  </si>
  <si>
    <t>16BJWG-10</t>
    <phoneticPr fontId="1" type="noConversion"/>
  </si>
  <si>
    <t>13BJWL-496</t>
    <phoneticPr fontId="1" type="noConversion"/>
  </si>
  <si>
    <t>13BJWL-315</t>
    <phoneticPr fontId="1" type="noConversion"/>
  </si>
  <si>
    <t>13BJWL-197</t>
    <phoneticPr fontId="1" type="noConversion"/>
  </si>
  <si>
    <t>13THD-480</t>
    <phoneticPr fontId="1" type="noConversion"/>
  </si>
  <si>
    <t>13THD-111</t>
    <phoneticPr fontId="1" type="noConversion"/>
  </si>
  <si>
    <t>2022.10.BC.MHLZ-19</t>
    <phoneticPr fontId="1" type="noConversion"/>
  </si>
  <si>
    <t>2022.10.BC.WYW-31</t>
    <phoneticPr fontId="1" type="noConversion"/>
  </si>
  <si>
    <t>2022.10.BC.MHLZ-18</t>
    <phoneticPr fontId="1" type="noConversion"/>
  </si>
  <si>
    <t>2022.10.BC.WYW-41</t>
    <phoneticPr fontId="1" type="noConversion"/>
  </si>
  <si>
    <t>2022.10.BC.WYW-42</t>
    <phoneticPr fontId="1" type="noConversion"/>
  </si>
  <si>
    <t>2022.9.BC.DPG-5</t>
    <phoneticPr fontId="1" type="noConversion"/>
  </si>
  <si>
    <t>2022.10.BC.BF-10</t>
    <phoneticPr fontId="1" type="noConversion"/>
  </si>
  <si>
    <t>13XC-30</t>
    <phoneticPr fontId="1" type="noConversion"/>
  </si>
  <si>
    <t>2022.10.BC.MHLZ-22</t>
    <phoneticPr fontId="1" type="noConversion"/>
  </si>
  <si>
    <t>2022.10.BC.CF-7</t>
    <phoneticPr fontId="1" type="noConversion"/>
  </si>
  <si>
    <t>13THD-631</t>
    <phoneticPr fontId="1" type="noConversion"/>
  </si>
  <si>
    <t>16BJWG-9</t>
    <phoneticPr fontId="1" type="noConversion"/>
  </si>
  <si>
    <t>2022.BC.WYW-30</t>
    <phoneticPr fontId="1" type="noConversion"/>
  </si>
  <si>
    <t>13BJWL-285</t>
    <phoneticPr fontId="1" type="noConversion"/>
  </si>
  <si>
    <t>2022.10.BC.QGS-6</t>
    <phoneticPr fontId="1" type="noConversion"/>
  </si>
  <si>
    <t>2022.10.BC.DNB-24</t>
    <phoneticPr fontId="1" type="noConversion"/>
  </si>
  <si>
    <t>13THD-130</t>
    <phoneticPr fontId="1" type="noConversion"/>
  </si>
  <si>
    <t>16SP-20</t>
    <phoneticPr fontId="1" type="noConversion"/>
  </si>
  <si>
    <t>13THD-299</t>
    <phoneticPr fontId="1" type="noConversion"/>
  </si>
  <si>
    <t>13BJWL-15</t>
    <phoneticPr fontId="1" type="noConversion"/>
  </si>
  <si>
    <t>10THD-4</t>
    <phoneticPr fontId="1" type="noConversion"/>
  </si>
  <si>
    <t>2022.10.BC.ZXYLZ-13</t>
    <phoneticPr fontId="1" type="noConversion"/>
  </si>
  <si>
    <t>2022.10.BC.WYW-45</t>
    <phoneticPr fontId="1" type="noConversion"/>
  </si>
  <si>
    <t>16SP-83</t>
    <phoneticPr fontId="1" type="noConversion"/>
  </si>
  <si>
    <t>13THDT2-30</t>
    <phoneticPr fontId="1" type="noConversion"/>
  </si>
  <si>
    <t>2022.10.BC.JCW-2</t>
    <phoneticPr fontId="1" type="noConversion"/>
  </si>
  <si>
    <t>2022.9.BC.PJDD-7</t>
    <phoneticPr fontId="1" type="noConversion"/>
  </si>
  <si>
    <t>13THD-1288</t>
    <phoneticPr fontId="1" type="noConversion"/>
  </si>
  <si>
    <t>2022.9.BC.LJS-11</t>
    <phoneticPr fontId="1" type="noConversion"/>
  </si>
  <si>
    <t>16SP-68</t>
    <phoneticPr fontId="1" type="noConversion"/>
  </si>
  <si>
    <t>10THD-48</t>
    <phoneticPr fontId="1" type="noConversion"/>
  </si>
  <si>
    <t>2022.9.BC.LJS-12</t>
    <phoneticPr fontId="1" type="noConversion"/>
  </si>
  <si>
    <t>16SP-65</t>
    <phoneticPr fontId="1" type="noConversion"/>
  </si>
  <si>
    <t>2022.10.BC.LZ-1</t>
    <phoneticPr fontId="1" type="noConversion"/>
  </si>
  <si>
    <t>16SP-99</t>
    <phoneticPr fontId="1" type="noConversion"/>
  </si>
  <si>
    <t>13BJWL-184</t>
    <phoneticPr fontId="1" type="noConversion"/>
  </si>
  <si>
    <t>10BJWG-60</t>
    <phoneticPr fontId="1" type="noConversion"/>
  </si>
  <si>
    <t>10THD-50</t>
    <phoneticPr fontId="1" type="noConversion"/>
  </si>
  <si>
    <t>2022.10.BC.WYW-40</t>
    <phoneticPr fontId="1" type="noConversion"/>
  </si>
  <si>
    <t>13THD-548</t>
    <phoneticPr fontId="1" type="noConversion"/>
  </si>
  <si>
    <t>13THD-442</t>
    <phoneticPr fontId="1" type="noConversion"/>
  </si>
  <si>
    <t>13THD-1068</t>
    <phoneticPr fontId="1" type="noConversion"/>
  </si>
  <si>
    <t>13THD-131</t>
    <phoneticPr fontId="1" type="noConversion"/>
  </si>
  <si>
    <t>13THD-1075</t>
    <phoneticPr fontId="1" type="noConversion"/>
  </si>
  <si>
    <t>2022.9.BC.HB-15</t>
    <phoneticPr fontId="1" type="noConversion"/>
  </si>
  <si>
    <t>10BJWG-6</t>
    <phoneticPr fontId="1" type="noConversion"/>
  </si>
  <si>
    <t>16BJWG-4</t>
    <phoneticPr fontId="1" type="noConversion"/>
  </si>
  <si>
    <t>13THD-1315</t>
    <phoneticPr fontId="1" type="noConversion"/>
  </si>
  <si>
    <t>13BJWG-37</t>
    <phoneticPr fontId="1" type="noConversion"/>
  </si>
  <si>
    <t>16BJWG-18</t>
    <phoneticPr fontId="1" type="noConversion"/>
  </si>
  <si>
    <t>16SP-74</t>
    <phoneticPr fontId="1" type="noConversion"/>
  </si>
  <si>
    <t>16SP-81</t>
    <phoneticPr fontId="1" type="noConversion"/>
  </si>
  <si>
    <t>10THD-6</t>
    <phoneticPr fontId="1" type="noConversion"/>
  </si>
  <si>
    <t>13THD-532</t>
    <phoneticPr fontId="1" type="noConversion"/>
  </si>
  <si>
    <t>16SP-419</t>
    <phoneticPr fontId="1" type="noConversion"/>
  </si>
  <si>
    <t>16SP-67</t>
    <phoneticPr fontId="1" type="noConversion"/>
  </si>
  <si>
    <t>13THD-535</t>
    <phoneticPr fontId="1" type="noConversion"/>
  </si>
  <si>
    <t>10BJWG-9</t>
    <phoneticPr fontId="1" type="noConversion"/>
  </si>
  <si>
    <t>16BJWG-12</t>
    <phoneticPr fontId="1" type="noConversion"/>
  </si>
  <si>
    <t>13THDT1-194</t>
    <phoneticPr fontId="1" type="noConversion"/>
  </si>
  <si>
    <t>13THDT1-117</t>
    <phoneticPr fontId="1" type="noConversion"/>
  </si>
  <si>
    <t>16BJWG-19</t>
    <phoneticPr fontId="1" type="noConversion"/>
  </si>
  <si>
    <t>13THD-254</t>
    <phoneticPr fontId="1" type="noConversion"/>
  </si>
  <si>
    <t>13THD-263</t>
    <phoneticPr fontId="1" type="noConversion"/>
  </si>
  <si>
    <t>13BJWG-207</t>
    <phoneticPr fontId="1" type="noConversion"/>
  </si>
  <si>
    <t>10THD-16</t>
    <phoneticPr fontId="1" type="noConversion"/>
  </si>
  <si>
    <t>13BJWG-32</t>
    <phoneticPr fontId="1" type="noConversion"/>
  </si>
  <si>
    <t>10BJWG-87</t>
    <phoneticPr fontId="1" type="noConversion"/>
  </si>
  <si>
    <t>13BJWL-345</t>
    <phoneticPr fontId="1" type="noConversion"/>
  </si>
  <si>
    <t>23THD-1</t>
    <phoneticPr fontId="1" type="noConversion"/>
  </si>
  <si>
    <t>Length</t>
    <phoneticPr fontId="1" type="noConversion"/>
  </si>
  <si>
    <t>Thickness</t>
    <phoneticPr fontId="1" type="noConversion"/>
  </si>
  <si>
    <t>Mass</t>
    <phoneticPr fontId="1" type="noConversion"/>
  </si>
  <si>
    <t>Width</t>
    <phoneticPr fontId="1" type="noConversion"/>
  </si>
  <si>
    <t>Perimeter</t>
    <phoneticPr fontId="1" type="noConversion"/>
  </si>
  <si>
    <t>Raw material</t>
    <phoneticPr fontId="1" type="noConversion"/>
  </si>
  <si>
    <t>Trachyte</t>
  </si>
  <si>
    <t>Sandstone</t>
  </si>
  <si>
    <t>Convex transverse scraper</t>
  </si>
  <si>
    <t>Single straight scraper</t>
  </si>
  <si>
    <t>Single convex scraper</t>
  </si>
  <si>
    <t>Straight transverse scraper</t>
  </si>
  <si>
    <t>Double convex-concave scraper</t>
  </si>
  <si>
    <t>Déjeté scraper</t>
  </si>
  <si>
    <t>Double concave scraper</t>
  </si>
  <si>
    <t>Single concave scraper</t>
  </si>
  <si>
    <t>Concave transverse scraper</t>
  </si>
  <si>
    <t>Double straight-convex scraper</t>
  </si>
  <si>
    <t>Straight convergent scraper</t>
  </si>
  <si>
    <t>Mousterian point</t>
  </si>
  <si>
    <t>Double convex scraper</t>
  </si>
  <si>
    <t>Concave  convergent scraper</t>
  </si>
  <si>
    <t>Double straight scraper</t>
  </si>
  <si>
    <t>Convex convergent scraper</t>
  </si>
  <si>
    <t>Double convex-straight scraper</t>
  </si>
  <si>
    <t>Triple scraper</t>
  </si>
  <si>
    <t>Limace</t>
  </si>
  <si>
    <t>51-75%</t>
  </si>
  <si>
    <t>Lateral</t>
  </si>
  <si>
    <t>1-25%</t>
  </si>
  <si>
    <t>26-50%</t>
  </si>
  <si>
    <t>76-99%</t>
  </si>
  <si>
    <t>Distal</t>
  </si>
  <si>
    <t>IPA</t>
    <phoneticPr fontId="1" type="noConversion"/>
  </si>
  <si>
    <t>Plain</t>
  </si>
  <si>
    <t>Natural</t>
  </si>
  <si>
    <t>Dihedral</t>
  </si>
  <si>
    <t>Cortex proportion</t>
    <phoneticPr fontId="1" type="noConversion"/>
  </si>
  <si>
    <t>Ave_GIUR</t>
    <phoneticPr fontId="1" type="noConversion"/>
  </si>
  <si>
    <t>ERP</t>
    <phoneticPr fontId="1" type="noConversion"/>
  </si>
  <si>
    <t>AvtL</t>
    <phoneticPr fontId="1" type="noConversion"/>
  </si>
  <si>
    <t>EPA</t>
    <phoneticPr fontId="1" type="noConversion"/>
  </si>
  <si>
    <t>13BJWL-420</t>
  </si>
  <si>
    <t>13BJWL-312</t>
  </si>
  <si>
    <t>13THD-165</t>
  </si>
  <si>
    <t>13THD-855</t>
  </si>
  <si>
    <t>13BJWL-174</t>
  </si>
  <si>
    <t>13THDT1-57</t>
  </si>
  <si>
    <t>13DZ-104</t>
  </si>
  <si>
    <t>13THDT1-135</t>
  </si>
  <si>
    <t>13DZ-57</t>
  </si>
  <si>
    <t>10BJWG-20</t>
  </si>
  <si>
    <t>13THD-813</t>
  </si>
  <si>
    <t>13BJWG-101</t>
  </si>
  <si>
    <t>16XC-17</t>
  </si>
  <si>
    <t>16SP-163</t>
  </si>
  <si>
    <t>13THD-1313</t>
  </si>
  <si>
    <t>16SP-57</t>
  </si>
  <si>
    <t>13WZT-1</t>
  </si>
  <si>
    <t>13DZ-204</t>
  </si>
  <si>
    <t>16XC-15</t>
  </si>
  <si>
    <t>10THD-11</t>
  </si>
  <si>
    <t>13BJWG-68</t>
  </si>
  <si>
    <t>13DZ-97</t>
  </si>
  <si>
    <t>13BJWG-44</t>
  </si>
  <si>
    <t>13BJWL-253</t>
  </si>
  <si>
    <t>16DZ-8</t>
  </si>
  <si>
    <t>13THD-856</t>
  </si>
  <si>
    <t>2022.YBC-10</t>
  </si>
  <si>
    <t>13BJWL-165</t>
  </si>
  <si>
    <t>13BJWL-134</t>
  </si>
  <si>
    <t>16BJWG-66</t>
  </si>
  <si>
    <t>13BJWL-567</t>
  </si>
  <si>
    <t>13THDT1-95</t>
  </si>
  <si>
    <t>13THD-38</t>
  </si>
  <si>
    <t>13BJWG-73</t>
  </si>
  <si>
    <t>13THD-606</t>
  </si>
  <si>
    <t>13BJWG-156</t>
  </si>
  <si>
    <t>13THD-919</t>
  </si>
  <si>
    <t>10THD-65</t>
  </si>
  <si>
    <t>13BJWL-575</t>
  </si>
  <si>
    <t>13BJWL-99</t>
  </si>
  <si>
    <t>13BJWL-545</t>
  </si>
  <si>
    <t>13XC-38</t>
  </si>
  <si>
    <t>13BJWL-255</t>
  </si>
  <si>
    <t>16SP-153</t>
  </si>
  <si>
    <t>16SP-60</t>
  </si>
  <si>
    <t>13BJWG-135</t>
  </si>
  <si>
    <t>13THDT1-119</t>
  </si>
  <si>
    <t>2022.10.BC.DPD.LOC1-4</t>
  </si>
  <si>
    <t>2022.0.BC.STWYK-8</t>
  </si>
  <si>
    <t>2022.9.BC.ZKZ-1</t>
  </si>
  <si>
    <t>2022.9.BC.YQJ-21</t>
  </si>
  <si>
    <t>2022.9.BC.ZZS-12</t>
  </si>
  <si>
    <t>2022.9.BC.ZZS-22</t>
  </si>
  <si>
    <t>2022.9.BC.HB-11</t>
  </si>
  <si>
    <t>2022.10.BC.NNT-3</t>
  </si>
  <si>
    <t>2022.9.BC.SW-8</t>
  </si>
  <si>
    <t>13THD-798</t>
  </si>
  <si>
    <t>Elongation</t>
    <phoneticPr fontId="1" type="noConversion"/>
  </si>
  <si>
    <t>Trachyte</t>
    <phoneticPr fontId="1" type="noConversion"/>
  </si>
  <si>
    <t>Granite</t>
    <phoneticPr fontId="1" type="noConversion"/>
  </si>
  <si>
    <t>Linear</t>
  </si>
  <si>
    <t>Andesite</t>
    <phoneticPr fontId="1" type="noConversion"/>
  </si>
  <si>
    <t>ID</t>
    <phoneticPr fontId="1" type="noConversion"/>
  </si>
  <si>
    <t>2022.YBC采-5</t>
    <phoneticPr fontId="1" type="noConversion"/>
  </si>
  <si>
    <t>2022.YBS采-2</t>
    <phoneticPr fontId="1" type="noConversion"/>
  </si>
  <si>
    <t>2022.YBC采-2</t>
    <phoneticPr fontId="1" type="noConversion"/>
  </si>
  <si>
    <t>2022.YBS采-3</t>
    <phoneticPr fontId="1" type="noConversion"/>
  </si>
  <si>
    <t>Raw_material</t>
    <phoneticPr fontId="1" type="noConversion"/>
  </si>
  <si>
    <t>Typology</t>
    <phoneticPr fontId="1" type="noConversion"/>
  </si>
  <si>
    <t>Bordes_typology</t>
    <phoneticPr fontId="1" type="noConversion"/>
  </si>
  <si>
    <t>Sub_typology</t>
    <phoneticPr fontId="1" type="noConversion"/>
  </si>
  <si>
    <t>Cortex</t>
    <phoneticPr fontId="1" type="noConversion"/>
  </si>
  <si>
    <t>Cortex_position</t>
    <phoneticPr fontId="1" type="noConversion"/>
  </si>
  <si>
    <t>Platform_type</t>
    <phoneticPr fontId="1" type="noConversion"/>
  </si>
  <si>
    <t>Platform_depth</t>
    <phoneticPr fontId="1" type="noConversion"/>
  </si>
  <si>
    <t>Platform_width</t>
    <phoneticPr fontId="1" type="noConversion"/>
  </si>
  <si>
    <t>E1_Direction</t>
    <phoneticPr fontId="1" type="noConversion"/>
  </si>
  <si>
    <t>E1_N_RG</t>
    <phoneticPr fontId="1" type="noConversion"/>
  </si>
  <si>
    <t>E1_N_Scar</t>
    <phoneticPr fontId="1" type="noConversion"/>
  </si>
  <si>
    <t>E1_N_CxS</t>
    <phoneticPr fontId="1" type="noConversion"/>
  </si>
  <si>
    <t>E1_N_CvS</t>
    <phoneticPr fontId="1" type="noConversion"/>
  </si>
  <si>
    <t>E1_Length</t>
    <phoneticPr fontId="1" type="noConversion"/>
  </si>
  <si>
    <t>E1_Depth</t>
    <phoneticPr fontId="1" type="noConversion"/>
  </si>
  <si>
    <t>E2_Direction</t>
  </si>
  <si>
    <t>E2_N_RG</t>
  </si>
  <si>
    <t>E2_N_Scar</t>
  </si>
  <si>
    <t>E2_N_CxS</t>
    <phoneticPr fontId="1" type="noConversion"/>
  </si>
  <si>
    <t>E2_N_CvS</t>
    <phoneticPr fontId="1" type="noConversion"/>
  </si>
  <si>
    <t>E2_Length</t>
  </si>
  <si>
    <t>E2_Depth</t>
  </si>
  <si>
    <t>E3_Direction</t>
  </si>
  <si>
    <t>E3_N_RG</t>
  </si>
  <si>
    <t>E3_N_Scar</t>
  </si>
  <si>
    <t>E3_N_CxS</t>
    <phoneticPr fontId="1" type="noConversion"/>
  </si>
  <si>
    <t>E3_N_CvS</t>
    <phoneticPr fontId="1" type="noConversion"/>
  </si>
  <si>
    <t>E3_Length</t>
  </si>
  <si>
    <t>E3_Depth</t>
  </si>
  <si>
    <t>Ave_RG</t>
    <phoneticPr fontId="1" type="noConversion"/>
  </si>
  <si>
    <t>N_Scar</t>
  </si>
  <si>
    <t>E1_GIUR</t>
    <phoneticPr fontId="1" type="noConversion"/>
  </si>
  <si>
    <t>E2_GIUR</t>
  </si>
  <si>
    <t>E3_GIUR</t>
  </si>
  <si>
    <t>Section_asymmetric</t>
    <phoneticPr fontId="1" type="noConversion"/>
  </si>
  <si>
    <t>Quina_scraper</t>
  </si>
  <si>
    <t>Tranchoir</t>
  </si>
  <si>
    <t>Notched scraper</t>
  </si>
  <si>
    <t>Inverse scraper</t>
  </si>
  <si>
    <t>Alternate scraper</t>
  </si>
  <si>
    <t>Single</t>
  </si>
  <si>
    <t>Double</t>
  </si>
  <si>
    <t>Multi</t>
  </si>
  <si>
    <t>Non_cortex</t>
  </si>
  <si>
    <t>Central</t>
  </si>
  <si>
    <t>Lateral</t>
    <phoneticPr fontId="1" type="noConversion"/>
  </si>
  <si>
    <t>Primary</t>
    <phoneticPr fontId="1" type="noConversion"/>
  </si>
  <si>
    <t>Obverse</t>
  </si>
  <si>
    <t>Inverse</t>
  </si>
  <si>
    <t>Bifacial</t>
    <phoneticPr fontId="1" type="noConversion"/>
  </si>
  <si>
    <t>Alternating</t>
    <phoneticPr fontId="1" type="noConversion"/>
  </si>
  <si>
    <t>Edge_Angle</t>
    <phoneticPr fontId="1" type="noConversion"/>
  </si>
  <si>
    <t>Invasive_index</t>
    <phoneticPr fontId="1" type="noConversion"/>
  </si>
  <si>
    <t>2022.YBC采-11</t>
  </si>
  <si>
    <t>Resharpening_flake</t>
    <phoneticPr fontId="1" type="noConversion"/>
  </si>
  <si>
    <t>Retouch_length_index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</si>
</sst>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 Light"/>
      <family val="3"/>
      <charset val="134"/>
      <scheme val="maj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7" fontId="2" fillId="2" borderId="1" xfId="0" applyNumberFormat="1" applyFont="1" applyFill="1" applyBorder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9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A4CB3C-2572-4DC1-8CA5-A40ADDE315C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c33b4ef-fd67-4a46-b2ab-32f88a4d5e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0A72-F028-47A8-9FE2-6569D238CC68}">
  <dimension ref="A1:AW167"/>
  <sheetViews>
    <sheetView tabSelected="1" topLeftCell="H1" zoomScale="70" zoomScaleNormal="70" workbookViewId="0">
      <selection activeCell="AR1" sqref="AR1"/>
    </sheetView>
  </sheetViews>
  <sheetFormatPr defaultRowHeight="13.8" x14ac:dyDescent="0.25"/>
  <cols>
    <col min="1" max="1" width="14.6640625" style="7" customWidth="1"/>
    <col min="2" max="2" width="13" style="6" customWidth="1"/>
    <col min="3" max="3" width="11.33203125" style="6" customWidth="1"/>
    <col min="4" max="4" width="23.6640625" style="6" customWidth="1"/>
    <col min="5" max="5" width="8.88671875" style="7"/>
    <col min="6" max="6" width="8.88671875" style="6"/>
    <col min="7" max="7" width="11.6640625" style="6" customWidth="1"/>
    <col min="8" max="23" width="8.88671875" style="6"/>
    <col min="24" max="24" width="12" style="6" customWidth="1"/>
    <col min="25" max="43" width="8.88671875" style="6"/>
    <col min="44" max="45" width="14.33203125" style="6" customWidth="1"/>
    <col min="46" max="46" width="7.21875" style="6" customWidth="1"/>
    <col min="47" max="48" width="11.88671875" style="6" customWidth="1"/>
    <col min="49" max="16384" width="8.88671875" style="6"/>
  </cols>
  <sheetData>
    <row r="1" spans="1:49" s="4" customFormat="1" ht="19.350000000000001" customHeight="1" x14ac:dyDescent="0.25">
      <c r="A1" s="3" t="s">
        <v>266</v>
      </c>
      <c r="B1" s="3" t="s">
        <v>271</v>
      </c>
      <c r="C1" s="3" t="s">
        <v>272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162</v>
      </c>
      <c r="I1" s="3" t="s">
        <v>165</v>
      </c>
      <c r="J1" s="3" t="s">
        <v>163</v>
      </c>
      <c r="K1" s="3" t="s">
        <v>164</v>
      </c>
      <c r="L1" s="3" t="s">
        <v>166</v>
      </c>
      <c r="M1" s="3" t="s">
        <v>277</v>
      </c>
      <c r="N1" s="3" t="s">
        <v>278</v>
      </c>
      <c r="O1" s="3" t="s">
        <v>279</v>
      </c>
      <c r="P1" s="3" t="s">
        <v>195</v>
      </c>
      <c r="Q1" s="3" t="s">
        <v>280</v>
      </c>
      <c r="R1" s="3" t="s">
        <v>281</v>
      </c>
      <c r="S1" s="3" t="s">
        <v>282</v>
      </c>
      <c r="T1" s="3" t="s">
        <v>283</v>
      </c>
      <c r="U1" s="3" t="s">
        <v>284</v>
      </c>
      <c r="V1" s="3" t="s">
        <v>285</v>
      </c>
      <c r="W1" s="3" t="s">
        <v>286</v>
      </c>
      <c r="X1" s="3" t="s">
        <v>287</v>
      </c>
      <c r="Y1" s="3" t="s">
        <v>288</v>
      </c>
      <c r="Z1" s="3" t="s">
        <v>289</v>
      </c>
      <c r="AA1" s="3" t="s">
        <v>290</v>
      </c>
      <c r="AB1" s="3" t="s">
        <v>291</v>
      </c>
      <c r="AC1" s="3" t="s">
        <v>292</v>
      </c>
      <c r="AD1" s="3" t="s">
        <v>293</v>
      </c>
      <c r="AE1" s="3" t="s">
        <v>294</v>
      </c>
      <c r="AF1" s="3" t="s">
        <v>295</v>
      </c>
      <c r="AG1" s="3" t="s">
        <v>296</v>
      </c>
      <c r="AH1" s="3" t="s">
        <v>297</v>
      </c>
      <c r="AI1" s="3" t="s">
        <v>298</v>
      </c>
      <c r="AJ1" s="3" t="s">
        <v>299</v>
      </c>
      <c r="AK1" s="3" t="s">
        <v>300</v>
      </c>
      <c r="AL1" s="3" t="s">
        <v>301</v>
      </c>
      <c r="AM1" s="3" t="s">
        <v>302</v>
      </c>
      <c r="AN1" s="3" t="s">
        <v>303</v>
      </c>
      <c r="AO1" s="3" t="s">
        <v>304</v>
      </c>
      <c r="AP1" s="3" t="s">
        <v>305</v>
      </c>
      <c r="AQ1" s="3" t="s">
        <v>200</v>
      </c>
      <c r="AR1" s="3" t="s">
        <v>323</v>
      </c>
      <c r="AS1" s="3" t="s">
        <v>324</v>
      </c>
      <c r="AT1" s="1" t="s">
        <v>201</v>
      </c>
      <c r="AU1" s="1" t="s">
        <v>202</v>
      </c>
      <c r="AV1" s="1" t="s">
        <v>327</v>
      </c>
      <c r="AW1" s="3" t="s">
        <v>306</v>
      </c>
    </row>
    <row r="2" spans="1:49" ht="15.6" x14ac:dyDescent="0.25">
      <c r="A2" s="5" t="s">
        <v>0</v>
      </c>
      <c r="B2" s="5" t="s">
        <v>168</v>
      </c>
      <c r="C2" s="6" t="s">
        <v>307</v>
      </c>
      <c r="D2" s="6" t="s">
        <v>170</v>
      </c>
      <c r="E2" s="5" t="s">
        <v>312</v>
      </c>
      <c r="F2" s="6" t="s">
        <v>189</v>
      </c>
      <c r="G2" s="6" t="s">
        <v>317</v>
      </c>
      <c r="H2" s="6">
        <v>75.88</v>
      </c>
      <c r="I2" s="6">
        <v>63.94</v>
      </c>
      <c r="J2" s="6">
        <v>37</v>
      </c>
      <c r="K2" s="6">
        <v>177.1</v>
      </c>
      <c r="L2" s="6">
        <v>205.39</v>
      </c>
      <c r="M2" s="6" t="s">
        <v>196</v>
      </c>
      <c r="N2" s="6">
        <v>11.2</v>
      </c>
      <c r="O2" s="6">
        <v>18.05</v>
      </c>
      <c r="P2" s="6">
        <v>150</v>
      </c>
      <c r="Q2" s="6" t="s">
        <v>319</v>
      </c>
      <c r="R2" s="6">
        <v>3</v>
      </c>
      <c r="S2" s="6">
        <f>T2+U2</f>
        <v>27</v>
      </c>
      <c r="T2" s="6">
        <v>5</v>
      </c>
      <c r="U2" s="6">
        <v>22</v>
      </c>
      <c r="V2" s="6">
        <v>91.949999999999989</v>
      </c>
      <c r="W2" s="6">
        <v>25.17736585118746</v>
      </c>
      <c r="AL2" s="6">
        <f>AVERAGE(R2,Y2,AF2)</f>
        <v>3</v>
      </c>
      <c r="AM2" s="6">
        <f>S2+Z2+AG2</f>
        <v>27</v>
      </c>
      <c r="AN2" s="6">
        <v>0.68046934732939079</v>
      </c>
      <c r="AQ2" s="6">
        <f>AVERAGE(AN2:AP2)</f>
        <v>0.68046934732939079</v>
      </c>
      <c r="AR2" s="6">
        <v>80.333333333333329</v>
      </c>
      <c r="AS2" s="6">
        <v>0.75</v>
      </c>
      <c r="AT2" s="2">
        <v>0.29018445885244276</v>
      </c>
      <c r="AU2" s="2">
        <v>231.50587900166866</v>
      </c>
      <c r="AV2" s="2">
        <f>(V2+AC2+AJ2)/L2</f>
        <v>0.44768489215638541</v>
      </c>
    </row>
    <row r="3" spans="1:49" ht="15.6" x14ac:dyDescent="0.25">
      <c r="A3" s="5" t="s">
        <v>1</v>
      </c>
      <c r="B3" s="5" t="s">
        <v>168</v>
      </c>
      <c r="C3" s="6" t="s">
        <v>307</v>
      </c>
      <c r="D3" s="6" t="s">
        <v>171</v>
      </c>
      <c r="E3" s="5" t="s">
        <v>312</v>
      </c>
      <c r="F3" s="6">
        <v>0</v>
      </c>
      <c r="G3" s="6" t="s">
        <v>315</v>
      </c>
      <c r="H3" s="6">
        <v>69.06</v>
      </c>
      <c r="I3" s="6">
        <v>37.049999999999997</v>
      </c>
      <c r="J3" s="6">
        <v>23.2</v>
      </c>
      <c r="K3" s="6">
        <v>59.9</v>
      </c>
      <c r="L3" s="6">
        <v>165.05</v>
      </c>
      <c r="Q3" s="6" t="s">
        <v>320</v>
      </c>
      <c r="R3" s="6">
        <v>3</v>
      </c>
      <c r="S3" s="6">
        <f t="shared" ref="S3:S66" si="0">T3+U3</f>
        <v>16</v>
      </c>
      <c r="T3" s="6">
        <v>5</v>
      </c>
      <c r="U3" s="6">
        <v>11</v>
      </c>
      <c r="V3" s="6">
        <v>39.71</v>
      </c>
      <c r="W3" s="6">
        <v>20.741455152497892</v>
      </c>
      <c r="AL3" s="6">
        <f t="shared" ref="AL3:AL66" si="1">AVERAGE(R3,Y3,AF3)</f>
        <v>3</v>
      </c>
      <c r="AM3" s="6">
        <f t="shared" ref="AM3:AM66" si="2">S3+Z3+AG3</f>
        <v>16</v>
      </c>
      <c r="AN3" s="6">
        <v>0.89402823933180575</v>
      </c>
      <c r="AQ3" s="6">
        <f t="shared" ref="AQ3:AQ66" si="3">AVERAGE(AN3:AP3)</f>
        <v>0.89402823933180575</v>
      </c>
      <c r="AR3" s="6">
        <v>81</v>
      </c>
      <c r="AS3" s="6">
        <v>0.7</v>
      </c>
      <c r="AT3" s="2">
        <v>0.55913174266493681</v>
      </c>
      <c r="AU3" s="2">
        <v>82.364318410569126</v>
      </c>
      <c r="AV3" s="2">
        <f t="shared" ref="AV3:AV66" si="4">(V3+AC3+AJ3)/L3</f>
        <v>0.24059375946682823</v>
      </c>
    </row>
    <row r="4" spans="1:49" ht="15.6" x14ac:dyDescent="0.25">
      <c r="A4" s="5" t="s">
        <v>2</v>
      </c>
      <c r="B4" s="5" t="s">
        <v>168</v>
      </c>
      <c r="C4" s="6" t="s">
        <v>307</v>
      </c>
      <c r="D4" s="6" t="s">
        <v>308</v>
      </c>
      <c r="E4" s="5" t="s">
        <v>312</v>
      </c>
      <c r="F4" s="6" t="s">
        <v>191</v>
      </c>
      <c r="G4" s="6" t="s">
        <v>190</v>
      </c>
      <c r="H4" s="6">
        <v>53.66</v>
      </c>
      <c r="I4" s="6">
        <v>47.47</v>
      </c>
      <c r="J4" s="6">
        <v>22.9</v>
      </c>
      <c r="K4" s="6">
        <v>47.8</v>
      </c>
      <c r="L4" s="6">
        <v>141.11000000000001</v>
      </c>
      <c r="Q4" s="6" t="s">
        <v>321</v>
      </c>
      <c r="R4" s="6">
        <v>4</v>
      </c>
      <c r="S4" s="6">
        <f t="shared" si="0"/>
        <v>16</v>
      </c>
      <c r="T4" s="6">
        <v>2</v>
      </c>
      <c r="U4" s="6">
        <v>14</v>
      </c>
      <c r="V4" s="6">
        <v>41.77</v>
      </c>
      <c r="W4" s="6">
        <v>16.978446245134464</v>
      </c>
      <c r="AL4" s="6">
        <f t="shared" si="1"/>
        <v>4</v>
      </c>
      <c r="AM4" s="6">
        <f t="shared" si="2"/>
        <v>16</v>
      </c>
      <c r="AR4" s="6">
        <v>56.333333333333336</v>
      </c>
      <c r="AS4" s="6">
        <v>0.75</v>
      </c>
      <c r="AT4" s="2"/>
      <c r="AU4" s="2">
        <v>70.918969965926664</v>
      </c>
      <c r="AV4" s="2">
        <f t="shared" si="4"/>
        <v>0.29601020480476226</v>
      </c>
    </row>
    <row r="5" spans="1:49" ht="15.6" x14ac:dyDescent="0.25">
      <c r="A5" s="5" t="s">
        <v>3</v>
      </c>
      <c r="B5" s="5" t="s">
        <v>168</v>
      </c>
      <c r="C5" s="6" t="s">
        <v>307</v>
      </c>
      <c r="D5" s="6" t="s">
        <v>185</v>
      </c>
      <c r="E5" s="5" t="s">
        <v>313</v>
      </c>
      <c r="F5" s="6">
        <v>0</v>
      </c>
      <c r="G5" s="6" t="s">
        <v>315</v>
      </c>
      <c r="H5" s="6">
        <v>49</v>
      </c>
      <c r="I5" s="6">
        <v>42.1</v>
      </c>
      <c r="J5" s="6">
        <v>20.56</v>
      </c>
      <c r="K5" s="6">
        <v>26.8</v>
      </c>
      <c r="L5" s="6">
        <v>123.08000000000001</v>
      </c>
      <c r="Q5" s="6" t="s">
        <v>319</v>
      </c>
      <c r="R5" s="6">
        <v>2</v>
      </c>
      <c r="S5" s="6">
        <f t="shared" si="0"/>
        <v>8</v>
      </c>
      <c r="T5" s="6">
        <v>3</v>
      </c>
      <c r="U5" s="6">
        <v>5</v>
      </c>
      <c r="V5" s="6">
        <v>40.07</v>
      </c>
      <c r="W5" s="6">
        <v>11.218924640258127</v>
      </c>
      <c r="X5" s="6" t="s">
        <v>319</v>
      </c>
      <c r="Y5" s="6">
        <v>3</v>
      </c>
      <c r="Z5" s="6">
        <f>AA5+AB5</f>
        <v>5</v>
      </c>
      <c r="AA5" s="6">
        <v>4</v>
      </c>
      <c r="AB5" s="6">
        <v>1</v>
      </c>
      <c r="AC5" s="6">
        <v>43.76</v>
      </c>
      <c r="AD5" s="6">
        <v>17.978619638516228</v>
      </c>
      <c r="AL5" s="6">
        <f t="shared" si="1"/>
        <v>2.5</v>
      </c>
      <c r="AM5" s="6">
        <f t="shared" si="2"/>
        <v>13</v>
      </c>
      <c r="AN5" s="6">
        <v>0.54566754086858593</v>
      </c>
      <c r="AO5" s="6">
        <v>0.87378640776699024</v>
      </c>
      <c r="AQ5" s="6">
        <f t="shared" si="3"/>
        <v>0.70972697431778808</v>
      </c>
      <c r="AR5" s="6">
        <v>63</v>
      </c>
      <c r="AS5" s="6">
        <v>0.875</v>
      </c>
      <c r="AT5" s="2">
        <v>0.34320539954972867</v>
      </c>
      <c r="AU5" s="2">
        <v>244.76301368896543</v>
      </c>
      <c r="AV5" s="2">
        <f t="shared" si="4"/>
        <v>0.68110172245693845</v>
      </c>
    </row>
    <row r="6" spans="1:49" ht="15.6" x14ac:dyDescent="0.25">
      <c r="A6" s="5" t="s">
        <v>4</v>
      </c>
      <c r="B6" s="5" t="s">
        <v>168</v>
      </c>
      <c r="C6" s="6" t="s">
        <v>307</v>
      </c>
      <c r="D6" s="6" t="s">
        <v>170</v>
      </c>
      <c r="E6" s="5" t="s">
        <v>312</v>
      </c>
      <c r="F6" s="6" t="s">
        <v>192</v>
      </c>
      <c r="G6" s="6" t="s">
        <v>190</v>
      </c>
      <c r="H6" s="6">
        <v>69.03</v>
      </c>
      <c r="I6" s="6">
        <v>63.1</v>
      </c>
      <c r="J6" s="6">
        <v>28.6</v>
      </c>
      <c r="K6" s="6">
        <v>101.5</v>
      </c>
      <c r="L6" s="6">
        <v>181.26999999999998</v>
      </c>
      <c r="M6" s="6" t="s">
        <v>196</v>
      </c>
      <c r="N6" s="6">
        <v>10.220000000000001</v>
      </c>
      <c r="O6" s="6">
        <v>19.09</v>
      </c>
      <c r="P6" s="6">
        <v>121</v>
      </c>
      <c r="Q6" s="6" t="s">
        <v>319</v>
      </c>
      <c r="R6" s="6">
        <v>3</v>
      </c>
      <c r="S6" s="6">
        <f t="shared" si="0"/>
        <v>11</v>
      </c>
      <c r="T6" s="6">
        <v>2</v>
      </c>
      <c r="U6" s="6">
        <v>9</v>
      </c>
      <c r="V6" s="6">
        <v>89.36</v>
      </c>
      <c r="W6" s="6">
        <v>8.2021024237235967</v>
      </c>
      <c r="AL6" s="6">
        <f t="shared" si="1"/>
        <v>3</v>
      </c>
      <c r="AM6" s="6">
        <f t="shared" si="2"/>
        <v>11</v>
      </c>
      <c r="AN6" s="6">
        <v>0.28678679803229357</v>
      </c>
      <c r="AQ6" s="6">
        <f t="shared" si="3"/>
        <v>0.28678679803229357</v>
      </c>
      <c r="AR6" s="6">
        <v>65.833333333333329</v>
      </c>
      <c r="AS6" s="6">
        <v>0.5</v>
      </c>
      <c r="AT6" s="2">
        <v>2.8016456282226321E-2</v>
      </c>
      <c r="AU6" s="2">
        <v>73.293987258394054</v>
      </c>
      <c r="AV6" s="2">
        <f t="shared" si="4"/>
        <v>0.49296629337452424</v>
      </c>
    </row>
    <row r="7" spans="1:49" ht="15.6" x14ac:dyDescent="0.25">
      <c r="A7" s="5" t="s">
        <v>5</v>
      </c>
      <c r="B7" s="5" t="s">
        <v>168</v>
      </c>
      <c r="C7" s="6" t="s">
        <v>307</v>
      </c>
      <c r="D7" s="6" t="s">
        <v>309</v>
      </c>
      <c r="E7" s="5" t="s">
        <v>312</v>
      </c>
      <c r="F7" s="6" t="s">
        <v>192</v>
      </c>
      <c r="G7" s="6" t="s">
        <v>190</v>
      </c>
      <c r="H7" s="6">
        <v>66.8</v>
      </c>
      <c r="I7" s="6">
        <v>60.3</v>
      </c>
      <c r="J7" s="6">
        <v>24.66</v>
      </c>
      <c r="K7" s="6">
        <v>87.4</v>
      </c>
      <c r="L7" s="6">
        <v>204.61</v>
      </c>
      <c r="Q7" s="6" t="s">
        <v>319</v>
      </c>
      <c r="R7" s="6">
        <v>3</v>
      </c>
      <c r="S7" s="6">
        <f t="shared" si="0"/>
        <v>7</v>
      </c>
      <c r="T7" s="6">
        <v>1</v>
      </c>
      <c r="U7" s="6">
        <v>6</v>
      </c>
      <c r="V7" s="6">
        <v>37.510000000000005</v>
      </c>
      <c r="W7" s="6">
        <v>12.522149670795411</v>
      </c>
      <c r="AL7" s="6">
        <f t="shared" si="1"/>
        <v>3</v>
      </c>
      <c r="AM7" s="6">
        <f t="shared" si="2"/>
        <v>7</v>
      </c>
      <c r="AN7" s="6">
        <v>0.50779195745317973</v>
      </c>
      <c r="AQ7" s="6">
        <f t="shared" si="3"/>
        <v>0.50779195745317973</v>
      </c>
      <c r="AR7" s="6">
        <v>80.400000000000006</v>
      </c>
      <c r="AS7" s="6">
        <v>0.5</v>
      </c>
      <c r="AT7" s="2">
        <v>5.2513317908925876E-2</v>
      </c>
      <c r="AU7" s="2">
        <v>46.970583415153598</v>
      </c>
      <c r="AV7" s="2">
        <f t="shared" si="4"/>
        <v>0.18332437319779094</v>
      </c>
    </row>
    <row r="8" spans="1:49" ht="15.6" x14ac:dyDescent="0.25">
      <c r="A8" s="5" t="s">
        <v>6</v>
      </c>
      <c r="B8" s="5" t="s">
        <v>168</v>
      </c>
      <c r="C8" s="6" t="s">
        <v>307</v>
      </c>
      <c r="D8" s="6" t="s">
        <v>185</v>
      </c>
      <c r="E8" s="5" t="s">
        <v>313</v>
      </c>
      <c r="F8" s="6" t="s">
        <v>192</v>
      </c>
      <c r="G8" s="6" t="s">
        <v>190</v>
      </c>
      <c r="H8" s="6">
        <v>65.900000000000006</v>
      </c>
      <c r="I8" s="6">
        <v>65</v>
      </c>
      <c r="J8" s="6">
        <v>33.5</v>
      </c>
      <c r="K8" s="6">
        <v>113.4</v>
      </c>
      <c r="L8" s="6">
        <v>163.69999999999999</v>
      </c>
      <c r="Q8" s="6" t="s">
        <v>319</v>
      </c>
      <c r="R8" s="6">
        <v>3</v>
      </c>
      <c r="S8" s="6">
        <f t="shared" si="0"/>
        <v>15</v>
      </c>
      <c r="T8" s="6">
        <v>2</v>
      </c>
      <c r="U8" s="6">
        <v>13</v>
      </c>
      <c r="V8" s="6">
        <v>42.64</v>
      </c>
      <c r="W8" s="6">
        <v>32.053079712816839</v>
      </c>
      <c r="X8" s="6" t="s">
        <v>319</v>
      </c>
      <c r="Y8" s="6">
        <v>2</v>
      </c>
      <c r="Z8" s="6">
        <f t="shared" ref="Z8:Z68" si="5">AA8+AB8</f>
        <v>9</v>
      </c>
      <c r="AA8" s="6">
        <v>0</v>
      </c>
      <c r="AB8" s="6">
        <v>9</v>
      </c>
      <c r="AC8" s="6">
        <v>51.48</v>
      </c>
      <c r="AD8" s="6">
        <v>13.038100222318585</v>
      </c>
      <c r="AL8" s="6">
        <f t="shared" si="1"/>
        <v>2.5</v>
      </c>
      <c r="AM8" s="6">
        <f t="shared" si="2"/>
        <v>24</v>
      </c>
      <c r="AN8" s="6">
        <v>0.95680834963632355</v>
      </c>
      <c r="AO8" s="6">
        <v>0.41014925373134331</v>
      </c>
      <c r="AQ8" s="6">
        <f t="shared" si="3"/>
        <v>0.68347880168383346</v>
      </c>
      <c r="AR8" s="6">
        <v>67.166666666666671</v>
      </c>
      <c r="AS8" s="6">
        <v>0.75</v>
      </c>
      <c r="AT8" s="2">
        <v>0.18969963314110658</v>
      </c>
      <c r="AU8" s="2">
        <v>424.3981855494946</v>
      </c>
      <c r="AV8" s="2">
        <f t="shared" si="4"/>
        <v>0.57495418448381197</v>
      </c>
    </row>
    <row r="9" spans="1:49" ht="15.6" x14ac:dyDescent="0.25">
      <c r="A9" s="5" t="s">
        <v>7</v>
      </c>
      <c r="B9" s="5" t="s">
        <v>168</v>
      </c>
      <c r="C9" s="6" t="s">
        <v>307</v>
      </c>
      <c r="D9" s="6" t="s">
        <v>172</v>
      </c>
      <c r="E9" s="5" t="s">
        <v>312</v>
      </c>
      <c r="F9" s="6" t="s">
        <v>191</v>
      </c>
      <c r="G9" s="6" t="s">
        <v>190</v>
      </c>
      <c r="H9" s="6">
        <v>62.3</v>
      </c>
      <c r="I9" s="6">
        <v>57.8</v>
      </c>
      <c r="J9" s="6">
        <v>25.3</v>
      </c>
      <c r="K9" s="6">
        <v>47.2</v>
      </c>
      <c r="L9" s="6">
        <v>152.29999999999998</v>
      </c>
      <c r="Q9" s="6" t="s">
        <v>319</v>
      </c>
      <c r="R9" s="6">
        <v>3</v>
      </c>
      <c r="S9" s="6">
        <f t="shared" si="0"/>
        <v>22</v>
      </c>
      <c r="T9" s="6">
        <v>2</v>
      </c>
      <c r="U9" s="6">
        <v>20</v>
      </c>
      <c r="V9" s="6">
        <v>60.849999999999994</v>
      </c>
      <c r="W9" s="6">
        <v>19.030131066261088</v>
      </c>
      <c r="AL9" s="6">
        <f t="shared" si="1"/>
        <v>3</v>
      </c>
      <c r="AM9" s="6">
        <f t="shared" si="2"/>
        <v>22</v>
      </c>
      <c r="AN9" s="6">
        <v>0.75217909352810619</v>
      </c>
      <c r="AQ9" s="6">
        <f t="shared" si="3"/>
        <v>0.75217909352810619</v>
      </c>
      <c r="AR9" s="6">
        <v>68.666666666666671</v>
      </c>
      <c r="AS9" s="6">
        <v>0.7</v>
      </c>
      <c r="AT9" s="2">
        <v>0.31304244517633772</v>
      </c>
      <c r="AU9" s="2">
        <v>115.79834753819871</v>
      </c>
      <c r="AV9" s="2">
        <f t="shared" si="4"/>
        <v>0.39954038082731452</v>
      </c>
    </row>
    <row r="10" spans="1:49" ht="15.6" x14ac:dyDescent="0.25">
      <c r="A10" s="5" t="s">
        <v>8</v>
      </c>
      <c r="B10" s="5" t="s">
        <v>168</v>
      </c>
      <c r="C10" s="6" t="s">
        <v>307</v>
      </c>
      <c r="D10" s="6" t="s">
        <v>173</v>
      </c>
      <c r="E10" s="5" t="s">
        <v>312</v>
      </c>
      <c r="F10" s="6" t="s">
        <v>193</v>
      </c>
      <c r="G10" s="6" t="s">
        <v>318</v>
      </c>
      <c r="H10" s="6">
        <v>70</v>
      </c>
      <c r="I10" s="6">
        <v>38.4</v>
      </c>
      <c r="J10" s="6">
        <v>24.9</v>
      </c>
      <c r="K10" s="6">
        <v>91.1</v>
      </c>
      <c r="L10" s="6">
        <v>152.41999999999999</v>
      </c>
      <c r="M10" s="6" t="s">
        <v>197</v>
      </c>
      <c r="N10" s="6">
        <v>19.95</v>
      </c>
      <c r="O10" s="6">
        <v>61.3</v>
      </c>
      <c r="P10" s="6">
        <v>134</v>
      </c>
      <c r="Q10" s="6" t="s">
        <v>319</v>
      </c>
      <c r="R10" s="6">
        <v>4</v>
      </c>
      <c r="S10" s="6">
        <f t="shared" si="0"/>
        <v>30</v>
      </c>
      <c r="T10" s="6">
        <v>5</v>
      </c>
      <c r="U10" s="6">
        <v>25</v>
      </c>
      <c r="V10" s="6">
        <v>70.239999999999995</v>
      </c>
      <c r="W10" s="6">
        <v>24.896677924802457</v>
      </c>
      <c r="AL10" s="6">
        <f t="shared" si="1"/>
        <v>4</v>
      </c>
      <c r="AM10" s="6">
        <f t="shared" si="2"/>
        <v>30</v>
      </c>
      <c r="AN10" s="6">
        <v>0.9998665833253999</v>
      </c>
      <c r="AQ10" s="6">
        <f t="shared" si="3"/>
        <v>0.9998665833253999</v>
      </c>
      <c r="AR10" s="6">
        <v>74</v>
      </c>
      <c r="AS10" s="6">
        <v>0.5</v>
      </c>
      <c r="AT10" s="2"/>
      <c r="AU10" s="2">
        <v>174.87426574381246</v>
      </c>
      <c r="AV10" s="2">
        <f t="shared" si="4"/>
        <v>0.46083191182259547</v>
      </c>
    </row>
    <row r="11" spans="1:49" ht="15.6" x14ac:dyDescent="0.25">
      <c r="A11" s="5" t="s">
        <v>9</v>
      </c>
      <c r="B11" s="5" t="s">
        <v>168</v>
      </c>
      <c r="C11" s="6" t="s">
        <v>307</v>
      </c>
      <c r="D11" s="6" t="s">
        <v>174</v>
      </c>
      <c r="E11" s="5" t="s">
        <v>313</v>
      </c>
      <c r="F11" s="6" t="s">
        <v>191</v>
      </c>
      <c r="G11" s="6" t="s">
        <v>194</v>
      </c>
      <c r="H11" s="6">
        <v>65.099999999999994</v>
      </c>
      <c r="I11" s="6">
        <v>61.8</v>
      </c>
      <c r="J11" s="6">
        <v>26.7</v>
      </c>
      <c r="K11" s="6">
        <v>98.5</v>
      </c>
      <c r="L11" s="6">
        <v>167.65000000000003</v>
      </c>
      <c r="M11" s="6" t="s">
        <v>196</v>
      </c>
      <c r="N11" s="6">
        <v>12.66</v>
      </c>
      <c r="O11" s="6">
        <v>35.46</v>
      </c>
      <c r="P11" s="6">
        <v>110</v>
      </c>
      <c r="Q11" s="6" t="s">
        <v>319</v>
      </c>
      <c r="R11" s="6">
        <v>3</v>
      </c>
      <c r="S11" s="6">
        <f t="shared" si="0"/>
        <v>13</v>
      </c>
      <c r="T11" s="6">
        <v>2</v>
      </c>
      <c r="U11" s="6">
        <v>11</v>
      </c>
      <c r="V11" s="6">
        <v>54.24</v>
      </c>
      <c r="W11" s="6">
        <v>15.072669637405969</v>
      </c>
      <c r="X11" s="6" t="s">
        <v>319</v>
      </c>
      <c r="Y11" s="6">
        <v>1</v>
      </c>
      <c r="Z11" s="6">
        <f t="shared" si="5"/>
        <v>4</v>
      </c>
      <c r="AA11" s="6">
        <v>0</v>
      </c>
      <c r="AB11" s="6">
        <v>4</v>
      </c>
      <c r="AC11" s="6">
        <v>44.15</v>
      </c>
      <c r="AD11" s="6">
        <v>4.3278392389558444</v>
      </c>
      <c r="AL11" s="6">
        <f t="shared" si="1"/>
        <v>2</v>
      </c>
      <c r="AM11" s="6">
        <f t="shared" si="2"/>
        <v>17</v>
      </c>
      <c r="AN11" s="6">
        <v>0.56451946207512993</v>
      </c>
      <c r="AO11" s="6">
        <v>0.16209135726426385</v>
      </c>
      <c r="AQ11" s="6">
        <f t="shared" si="3"/>
        <v>0.36330540966969688</v>
      </c>
      <c r="AR11" s="6">
        <v>63.166666666666671</v>
      </c>
      <c r="AS11" s="6">
        <v>0.5</v>
      </c>
      <c r="AT11" s="2">
        <v>0.15107544354762067</v>
      </c>
      <c r="AU11" s="2">
        <v>190.88160683452386</v>
      </c>
      <c r="AV11" s="2">
        <f t="shared" si="4"/>
        <v>0.58687742320310154</v>
      </c>
    </row>
    <row r="12" spans="1:49" ht="15.6" x14ac:dyDescent="0.25">
      <c r="A12" s="5" t="s">
        <v>10</v>
      </c>
      <c r="B12" s="5" t="s">
        <v>168</v>
      </c>
      <c r="C12" s="6" t="s">
        <v>307</v>
      </c>
      <c r="D12" s="6" t="s">
        <v>175</v>
      </c>
      <c r="E12" s="5" t="s">
        <v>313</v>
      </c>
      <c r="F12" s="6">
        <v>0</v>
      </c>
      <c r="G12" s="6" t="s">
        <v>315</v>
      </c>
      <c r="H12" s="6">
        <v>65.400000000000006</v>
      </c>
      <c r="I12" s="6">
        <v>37.97</v>
      </c>
      <c r="J12" s="6">
        <v>28.87</v>
      </c>
      <c r="K12" s="6">
        <v>65.2</v>
      </c>
      <c r="L12" s="6">
        <v>115.54999999999998</v>
      </c>
      <c r="M12" s="6" t="s">
        <v>196</v>
      </c>
      <c r="N12" s="6">
        <v>18</v>
      </c>
      <c r="O12" s="6">
        <v>34.5</v>
      </c>
      <c r="P12" s="6">
        <v>141</v>
      </c>
      <c r="Q12" s="6" t="s">
        <v>319</v>
      </c>
      <c r="R12" s="6">
        <v>2</v>
      </c>
      <c r="S12" s="6">
        <f t="shared" si="0"/>
        <v>7</v>
      </c>
      <c r="T12" s="6">
        <v>1</v>
      </c>
      <c r="U12" s="6">
        <v>6</v>
      </c>
      <c r="V12" s="6">
        <v>58.61</v>
      </c>
      <c r="W12" s="6">
        <v>17.804829635114952</v>
      </c>
      <c r="X12" s="6" t="s">
        <v>319</v>
      </c>
      <c r="Y12" s="6">
        <v>1</v>
      </c>
      <c r="Z12" s="6">
        <f t="shared" si="5"/>
        <v>3</v>
      </c>
      <c r="AA12" s="6">
        <v>1</v>
      </c>
      <c r="AB12" s="6">
        <v>2</v>
      </c>
      <c r="AC12" s="6">
        <v>31.23</v>
      </c>
      <c r="AD12" s="6">
        <v>15.625889274292234</v>
      </c>
      <c r="AL12" s="6">
        <f t="shared" si="1"/>
        <v>1.5</v>
      </c>
      <c r="AM12" s="6">
        <f t="shared" si="2"/>
        <v>10</v>
      </c>
      <c r="AN12" s="6">
        <v>0.6167242686219242</v>
      </c>
      <c r="AO12" s="6">
        <v>0.54125006145799215</v>
      </c>
      <c r="AQ12" s="6">
        <f t="shared" si="3"/>
        <v>0.57898716503995817</v>
      </c>
      <c r="AR12" s="6">
        <v>72.074999999999989</v>
      </c>
      <c r="AS12" s="6">
        <v>0.5</v>
      </c>
      <c r="AT12" s="2">
        <v>0.19778986947903276</v>
      </c>
      <c r="AU12" s="2">
        <v>300.34157868211418</v>
      </c>
      <c r="AV12" s="2">
        <f t="shared" si="4"/>
        <v>0.77749891821722217</v>
      </c>
    </row>
    <row r="13" spans="1:49" ht="15.6" x14ac:dyDescent="0.25">
      <c r="A13" s="5" t="s">
        <v>11</v>
      </c>
      <c r="B13" s="5" t="s">
        <v>168</v>
      </c>
      <c r="C13" s="6" t="s">
        <v>307</v>
      </c>
      <c r="D13" s="6" t="s">
        <v>176</v>
      </c>
      <c r="E13" s="5" t="s">
        <v>313</v>
      </c>
      <c r="F13" s="6" t="s">
        <v>192</v>
      </c>
      <c r="G13" s="6" t="s">
        <v>190</v>
      </c>
      <c r="H13" s="6">
        <v>50.94</v>
      </c>
      <c r="I13" s="6">
        <v>44.85</v>
      </c>
      <c r="J13" s="6">
        <v>34.97</v>
      </c>
      <c r="K13" s="6">
        <v>58.9</v>
      </c>
      <c r="L13" s="6">
        <v>141.42000000000002</v>
      </c>
      <c r="Q13" s="6" t="s">
        <v>319</v>
      </c>
      <c r="R13" s="6">
        <v>3</v>
      </c>
      <c r="S13" s="6">
        <f t="shared" si="0"/>
        <v>17</v>
      </c>
      <c r="T13" s="6">
        <v>4</v>
      </c>
      <c r="U13" s="6">
        <v>13</v>
      </c>
      <c r="V13" s="6">
        <v>43.97</v>
      </c>
      <c r="W13" s="6">
        <v>19.706910127176432</v>
      </c>
      <c r="X13" s="6" t="s">
        <v>319</v>
      </c>
      <c r="Y13" s="6">
        <v>3</v>
      </c>
      <c r="Z13" s="6">
        <f t="shared" si="5"/>
        <v>12</v>
      </c>
      <c r="AA13" s="6">
        <v>2</v>
      </c>
      <c r="AB13" s="6">
        <v>10</v>
      </c>
      <c r="AC13" s="6">
        <v>33.979999999999997</v>
      </c>
      <c r="AD13" s="6">
        <v>26.006575990805636</v>
      </c>
      <c r="AL13" s="6">
        <f t="shared" si="1"/>
        <v>3</v>
      </c>
      <c r="AM13" s="6">
        <f t="shared" si="2"/>
        <v>29</v>
      </c>
      <c r="AN13" s="6">
        <v>0.56353760729700975</v>
      </c>
      <c r="AO13" s="6">
        <v>0.74368247042624069</v>
      </c>
      <c r="AQ13" s="6">
        <f t="shared" si="3"/>
        <v>0.65361003886162528</v>
      </c>
      <c r="AR13" s="6">
        <v>74.033333333333331</v>
      </c>
      <c r="AS13" s="6">
        <v>0.7142857142857143</v>
      </c>
      <c r="AT13" s="2">
        <v>0.43712803278175927</v>
      </c>
      <c r="AU13" s="2">
        <v>356.33662428967017</v>
      </c>
      <c r="AV13" s="2">
        <f t="shared" si="4"/>
        <v>0.55119502192052028</v>
      </c>
    </row>
    <row r="14" spans="1:49" ht="15.6" x14ac:dyDescent="0.25">
      <c r="A14" s="5" t="s">
        <v>12</v>
      </c>
      <c r="B14" s="5" t="s">
        <v>262</v>
      </c>
      <c r="C14" s="6" t="s">
        <v>307</v>
      </c>
      <c r="D14" s="6" t="s">
        <v>172</v>
      </c>
      <c r="E14" s="5" t="s">
        <v>312</v>
      </c>
      <c r="F14" s="6" t="s">
        <v>193</v>
      </c>
      <c r="G14" s="6" t="s">
        <v>318</v>
      </c>
      <c r="H14" s="6">
        <v>65.400000000000006</v>
      </c>
      <c r="I14" s="6">
        <v>45.2</v>
      </c>
      <c r="J14" s="6">
        <v>25.8</v>
      </c>
      <c r="K14" s="6">
        <v>76.900000000000006</v>
      </c>
      <c r="L14" s="6">
        <v>156.89999999999998</v>
      </c>
      <c r="M14" s="6" t="s">
        <v>196</v>
      </c>
      <c r="N14" s="6">
        <v>18.2</v>
      </c>
      <c r="O14" s="6">
        <v>45.8</v>
      </c>
      <c r="P14" s="6">
        <v>122</v>
      </c>
      <c r="Q14" s="6" t="s">
        <v>319</v>
      </c>
      <c r="R14" s="6">
        <v>2</v>
      </c>
      <c r="S14" s="6">
        <f t="shared" si="0"/>
        <v>12</v>
      </c>
      <c r="T14" s="6">
        <v>6</v>
      </c>
      <c r="U14" s="6">
        <v>6</v>
      </c>
      <c r="V14" s="6">
        <v>47.91</v>
      </c>
      <c r="W14" s="6">
        <v>9.6544106099784219</v>
      </c>
      <c r="AL14" s="6">
        <f t="shared" si="1"/>
        <v>2</v>
      </c>
      <c r="AM14" s="6">
        <f t="shared" si="2"/>
        <v>12</v>
      </c>
      <c r="AN14" s="6">
        <v>0.37420196162707059</v>
      </c>
      <c r="AQ14" s="6">
        <f t="shared" si="3"/>
        <v>0.37420196162707059</v>
      </c>
      <c r="AR14" s="6">
        <v>56.333333333333336</v>
      </c>
      <c r="AS14" s="6">
        <v>0.5</v>
      </c>
      <c r="AT14" s="2">
        <v>8.285768876997561E-2</v>
      </c>
      <c r="AU14" s="2">
        <v>46.254281232406619</v>
      </c>
      <c r="AV14" s="2">
        <f t="shared" si="4"/>
        <v>0.30535372848948378</v>
      </c>
    </row>
    <row r="15" spans="1:49" ht="15.6" x14ac:dyDescent="0.25">
      <c r="A15" s="5" t="s">
        <v>13</v>
      </c>
      <c r="B15" s="5" t="s">
        <v>168</v>
      </c>
      <c r="C15" s="6" t="s">
        <v>307</v>
      </c>
      <c r="D15" s="6" t="s">
        <v>171</v>
      </c>
      <c r="E15" s="5" t="s">
        <v>312</v>
      </c>
      <c r="F15" s="6" t="s">
        <v>192</v>
      </c>
      <c r="G15" s="6" t="s">
        <v>190</v>
      </c>
      <c r="H15" s="6">
        <v>55.75</v>
      </c>
      <c r="I15" s="6">
        <v>36.85</v>
      </c>
      <c r="J15" s="6">
        <v>22.6</v>
      </c>
      <c r="K15" s="6">
        <v>48.1</v>
      </c>
      <c r="L15" s="6">
        <v>144.73000000000002</v>
      </c>
      <c r="Q15" s="6" t="s">
        <v>319</v>
      </c>
      <c r="R15" s="6">
        <v>2</v>
      </c>
      <c r="S15" s="6">
        <f t="shared" si="0"/>
        <v>16</v>
      </c>
      <c r="T15" s="6">
        <v>1</v>
      </c>
      <c r="U15" s="6">
        <v>15</v>
      </c>
      <c r="V15" s="6">
        <v>42.8</v>
      </c>
      <c r="W15" s="6">
        <v>5.6014825589832107</v>
      </c>
      <c r="AL15" s="6">
        <f t="shared" si="1"/>
        <v>2</v>
      </c>
      <c r="AM15" s="6">
        <f t="shared" si="2"/>
        <v>16</v>
      </c>
      <c r="AN15" s="6">
        <v>0.24785321057447834</v>
      </c>
      <c r="AQ15" s="6">
        <f t="shared" si="3"/>
        <v>0.24785321057447834</v>
      </c>
      <c r="AR15" s="6">
        <v>69</v>
      </c>
      <c r="AS15" s="6">
        <v>0.83333333333333337</v>
      </c>
      <c r="AT15" s="2">
        <v>2.1907435133121673E-2</v>
      </c>
      <c r="AU15" s="2">
        <v>23.97434535244814</v>
      </c>
      <c r="AV15" s="2">
        <f t="shared" si="4"/>
        <v>0.29572307054515301</v>
      </c>
    </row>
    <row r="16" spans="1:49" ht="15.6" x14ac:dyDescent="0.25">
      <c r="A16" s="5" t="s">
        <v>14</v>
      </c>
      <c r="B16" s="5" t="s">
        <v>169</v>
      </c>
      <c r="C16" s="6" t="s">
        <v>307</v>
      </c>
      <c r="D16" s="6" t="s">
        <v>175</v>
      </c>
      <c r="E16" s="5" t="s">
        <v>313</v>
      </c>
      <c r="F16" s="6">
        <v>0</v>
      </c>
      <c r="G16" s="6" t="s">
        <v>315</v>
      </c>
      <c r="H16" s="6">
        <v>60.27</v>
      </c>
      <c r="I16" s="6">
        <v>50.35</v>
      </c>
      <c r="J16" s="6">
        <v>15.1</v>
      </c>
      <c r="K16" s="6">
        <v>70</v>
      </c>
      <c r="L16" s="6">
        <v>150.43</v>
      </c>
      <c r="Q16" s="6" t="s">
        <v>319</v>
      </c>
      <c r="R16" s="6">
        <v>3</v>
      </c>
      <c r="S16" s="6">
        <f t="shared" si="0"/>
        <v>19</v>
      </c>
      <c r="T16" s="6">
        <v>5</v>
      </c>
      <c r="U16" s="6">
        <v>14</v>
      </c>
      <c r="V16" s="6">
        <v>61</v>
      </c>
      <c r="W16" s="6">
        <v>14.816726834199148</v>
      </c>
      <c r="X16" s="6" t="s">
        <v>319</v>
      </c>
      <c r="Y16" s="6">
        <v>3</v>
      </c>
      <c r="Z16" s="6">
        <f t="shared" si="5"/>
        <v>14</v>
      </c>
      <c r="AA16" s="6">
        <v>2</v>
      </c>
      <c r="AB16" s="6">
        <v>12</v>
      </c>
      <c r="AC16" s="6">
        <v>60.42</v>
      </c>
      <c r="AD16" s="6">
        <v>15.195878069926168</v>
      </c>
      <c r="AL16" s="6">
        <f t="shared" si="1"/>
        <v>3</v>
      </c>
      <c r="AM16" s="6">
        <f t="shared" si="2"/>
        <v>33</v>
      </c>
      <c r="AN16" s="6">
        <v>0.98124018769530785</v>
      </c>
      <c r="AO16" s="6">
        <v>1</v>
      </c>
      <c r="AQ16" s="6">
        <f t="shared" si="3"/>
        <v>0.99062009384765393</v>
      </c>
      <c r="AR16" s="6">
        <v>68.083333333333343</v>
      </c>
      <c r="AS16" s="6">
        <v>0.75</v>
      </c>
      <c r="AT16" s="2"/>
      <c r="AU16" s="2">
        <v>364.41304874588963</v>
      </c>
      <c r="AV16" s="2">
        <f t="shared" si="4"/>
        <v>0.80715282855813331</v>
      </c>
    </row>
    <row r="17" spans="1:48" ht="15.6" x14ac:dyDescent="0.25">
      <c r="A17" s="5" t="s">
        <v>15</v>
      </c>
      <c r="B17" s="5" t="s">
        <v>168</v>
      </c>
      <c r="C17" s="6" t="s">
        <v>307</v>
      </c>
      <c r="D17" s="6" t="s">
        <v>175</v>
      </c>
      <c r="E17" s="5" t="s">
        <v>313</v>
      </c>
      <c r="F17" s="6" t="s">
        <v>189</v>
      </c>
      <c r="G17" s="6" t="s">
        <v>190</v>
      </c>
      <c r="H17" s="6">
        <v>60.7</v>
      </c>
      <c r="I17" s="6">
        <v>55.18</v>
      </c>
      <c r="J17" s="6">
        <v>37.049999999999997</v>
      </c>
      <c r="K17" s="6">
        <v>130.19999999999999</v>
      </c>
      <c r="L17" s="6">
        <v>174.56</v>
      </c>
      <c r="Q17" s="6" t="s">
        <v>319</v>
      </c>
      <c r="R17" s="6">
        <v>3</v>
      </c>
      <c r="S17" s="6">
        <f t="shared" si="0"/>
        <v>16</v>
      </c>
      <c r="T17" s="6">
        <v>4</v>
      </c>
      <c r="U17" s="6">
        <v>12</v>
      </c>
      <c r="V17" s="6">
        <v>62.83</v>
      </c>
      <c r="W17" s="6">
        <v>19.40470707729456</v>
      </c>
      <c r="X17" s="6" t="s">
        <v>319</v>
      </c>
      <c r="Y17" s="6">
        <v>2</v>
      </c>
      <c r="Z17" s="6">
        <f t="shared" si="5"/>
        <v>14</v>
      </c>
      <c r="AA17" s="6">
        <v>4</v>
      </c>
      <c r="AB17" s="6">
        <v>10</v>
      </c>
      <c r="AC17" s="6">
        <v>36.21</v>
      </c>
      <c r="AD17" s="6">
        <v>19.122809689875545</v>
      </c>
      <c r="AL17" s="6">
        <f t="shared" si="1"/>
        <v>2.5</v>
      </c>
      <c r="AM17" s="6">
        <f t="shared" si="2"/>
        <v>30</v>
      </c>
      <c r="AN17" s="6">
        <v>0.52374378076368588</v>
      </c>
      <c r="AO17" s="6">
        <v>0.51613521430163423</v>
      </c>
      <c r="AQ17" s="6">
        <f t="shared" si="3"/>
        <v>0.51993949753266011</v>
      </c>
      <c r="AR17" s="6">
        <v>74.99166666666666</v>
      </c>
      <c r="AS17" s="6">
        <v>0.5</v>
      </c>
      <c r="AT17" s="2">
        <v>0.17500292547150451</v>
      </c>
      <c r="AU17" s="2">
        <v>381.57652606205272</v>
      </c>
      <c r="AV17" s="2">
        <f t="shared" si="4"/>
        <v>0.56736938588450958</v>
      </c>
    </row>
    <row r="18" spans="1:48" ht="15.6" x14ac:dyDescent="0.25">
      <c r="A18" s="5" t="s">
        <v>16</v>
      </c>
      <c r="B18" s="5" t="s">
        <v>168</v>
      </c>
      <c r="C18" s="6" t="s">
        <v>307</v>
      </c>
      <c r="D18" s="6" t="s">
        <v>185</v>
      </c>
      <c r="E18" s="5" t="s">
        <v>313</v>
      </c>
      <c r="F18" s="6" t="s">
        <v>192</v>
      </c>
      <c r="G18" s="6" t="s">
        <v>190</v>
      </c>
      <c r="H18" s="6">
        <v>58.54</v>
      </c>
      <c r="I18" s="6">
        <v>54.7</v>
      </c>
      <c r="J18" s="6">
        <v>18.86</v>
      </c>
      <c r="K18" s="6">
        <v>63</v>
      </c>
      <c r="L18" s="6">
        <v>143.66000000000003</v>
      </c>
      <c r="M18" s="6" t="s">
        <v>196</v>
      </c>
      <c r="N18" s="6">
        <v>18.07</v>
      </c>
      <c r="O18" s="6">
        <v>40.65</v>
      </c>
      <c r="P18" s="6">
        <v>117</v>
      </c>
      <c r="Q18" s="6" t="s">
        <v>319</v>
      </c>
      <c r="R18" s="6">
        <v>2</v>
      </c>
      <c r="S18" s="6">
        <f t="shared" si="0"/>
        <v>12</v>
      </c>
      <c r="T18" s="6">
        <v>4</v>
      </c>
      <c r="U18" s="6">
        <v>8</v>
      </c>
      <c r="V18" s="6">
        <v>65.89</v>
      </c>
      <c r="W18" s="6">
        <v>9.1893025239203574</v>
      </c>
      <c r="X18" s="6" t="s">
        <v>319</v>
      </c>
      <c r="Y18" s="6">
        <v>2</v>
      </c>
      <c r="Z18" s="6">
        <f t="shared" si="5"/>
        <v>7</v>
      </c>
      <c r="AA18" s="6">
        <v>3</v>
      </c>
      <c r="AB18" s="6">
        <v>4</v>
      </c>
      <c r="AC18" s="6">
        <v>25.89</v>
      </c>
      <c r="AD18" s="6">
        <v>9.6219152574665134</v>
      </c>
      <c r="AL18" s="6">
        <f t="shared" si="1"/>
        <v>2</v>
      </c>
      <c r="AM18" s="6">
        <f t="shared" si="2"/>
        <v>19</v>
      </c>
      <c r="AN18" s="6">
        <v>0.48723767359068704</v>
      </c>
      <c r="AO18" s="6">
        <v>0.51017578247436446</v>
      </c>
      <c r="AQ18" s="6">
        <f t="shared" si="3"/>
        <v>0.49870672803252575</v>
      </c>
      <c r="AR18" s="6">
        <v>60.924999999999997</v>
      </c>
      <c r="AS18" s="6">
        <v>0.5</v>
      </c>
      <c r="AT18" s="2">
        <v>0.104462472602805</v>
      </c>
      <c r="AU18" s="2">
        <v>172.64935679756871</v>
      </c>
      <c r="AV18" s="2">
        <f t="shared" si="4"/>
        <v>0.63886955311151317</v>
      </c>
    </row>
    <row r="19" spans="1:48" ht="15.6" x14ac:dyDescent="0.25">
      <c r="A19" s="5" t="s">
        <v>17</v>
      </c>
      <c r="B19" s="5" t="s">
        <v>168</v>
      </c>
      <c r="C19" s="6" t="s">
        <v>307</v>
      </c>
      <c r="D19" s="6" t="s">
        <v>171</v>
      </c>
      <c r="E19" s="5" t="s">
        <v>312</v>
      </c>
      <c r="F19" s="6" t="s">
        <v>191</v>
      </c>
      <c r="G19" s="6" t="s">
        <v>190</v>
      </c>
      <c r="H19" s="6">
        <v>72.66</v>
      </c>
      <c r="I19" s="6">
        <v>69.39</v>
      </c>
      <c r="J19" s="6">
        <v>38.15</v>
      </c>
      <c r="K19" s="6">
        <v>131.4</v>
      </c>
      <c r="L19" s="6">
        <v>192.03999999999996</v>
      </c>
      <c r="Q19" s="6" t="s">
        <v>319</v>
      </c>
      <c r="R19" s="6">
        <v>3</v>
      </c>
      <c r="S19" s="6">
        <f t="shared" si="0"/>
        <v>13</v>
      </c>
      <c r="T19" s="6">
        <v>4</v>
      </c>
      <c r="U19" s="6">
        <v>9</v>
      </c>
      <c r="V19" s="6">
        <v>48.24</v>
      </c>
      <c r="W19" s="6">
        <v>22.76687568606954</v>
      </c>
      <c r="AL19" s="6">
        <f t="shared" si="1"/>
        <v>3</v>
      </c>
      <c r="AM19" s="6">
        <f t="shared" si="2"/>
        <v>13</v>
      </c>
      <c r="AN19" s="6">
        <v>0.59677262610929338</v>
      </c>
      <c r="AQ19" s="6">
        <f t="shared" si="3"/>
        <v>0.59677262610929338</v>
      </c>
      <c r="AR19" s="6">
        <v>77.833333333333329</v>
      </c>
      <c r="AS19" s="6">
        <v>0.5</v>
      </c>
      <c r="AT19" s="2">
        <v>0.13057939233860497</v>
      </c>
      <c r="AU19" s="2">
        <v>109.82740830959946</v>
      </c>
      <c r="AV19" s="2">
        <f t="shared" si="4"/>
        <v>0.25119766715267661</v>
      </c>
    </row>
    <row r="20" spans="1:48" ht="15.6" x14ac:dyDescent="0.25">
      <c r="A20" s="5" t="s">
        <v>18</v>
      </c>
      <c r="B20" s="5" t="s">
        <v>168</v>
      </c>
      <c r="C20" s="6" t="s">
        <v>307</v>
      </c>
      <c r="D20" s="6" t="s">
        <v>172</v>
      </c>
      <c r="E20" s="5" t="s">
        <v>312</v>
      </c>
      <c r="F20" s="6">
        <v>0</v>
      </c>
      <c r="G20" s="6" t="s">
        <v>315</v>
      </c>
      <c r="H20" s="6">
        <v>56.13</v>
      </c>
      <c r="I20" s="6">
        <v>40.17</v>
      </c>
      <c r="J20" s="6">
        <v>21.4</v>
      </c>
      <c r="K20" s="6">
        <v>45.5</v>
      </c>
      <c r="L20" s="6">
        <v>147.16</v>
      </c>
      <c r="Q20" s="6" t="s">
        <v>319</v>
      </c>
      <c r="R20" s="6">
        <v>2</v>
      </c>
      <c r="S20" s="6">
        <f t="shared" si="0"/>
        <v>10</v>
      </c>
      <c r="T20" s="6">
        <v>4</v>
      </c>
      <c r="U20" s="6">
        <v>6</v>
      </c>
      <c r="V20" s="6">
        <v>47.06</v>
      </c>
      <c r="W20" s="6">
        <v>16.377150863464049</v>
      </c>
      <c r="AL20" s="6">
        <f t="shared" si="1"/>
        <v>2</v>
      </c>
      <c r="AM20" s="6">
        <f t="shared" si="2"/>
        <v>10</v>
      </c>
      <c r="AN20" s="6">
        <v>0.76528742352635748</v>
      </c>
      <c r="AQ20" s="6">
        <f t="shared" si="3"/>
        <v>0.76528742352635748</v>
      </c>
      <c r="AR20" s="6">
        <v>64.333333333333329</v>
      </c>
      <c r="AS20" s="6">
        <v>0.5</v>
      </c>
      <c r="AT20" s="2">
        <v>0.33885279304779115</v>
      </c>
      <c r="AU20" s="2">
        <v>77.070871963461826</v>
      </c>
      <c r="AV20" s="2">
        <f t="shared" si="4"/>
        <v>0.31978798586572438</v>
      </c>
    </row>
    <row r="21" spans="1:48" ht="15.6" x14ac:dyDescent="0.25">
      <c r="A21" s="5" t="s">
        <v>19</v>
      </c>
      <c r="B21" s="5" t="s">
        <v>168</v>
      </c>
      <c r="C21" s="6" t="s">
        <v>307</v>
      </c>
      <c r="D21" s="6" t="s">
        <v>172</v>
      </c>
      <c r="E21" s="5" t="s">
        <v>312</v>
      </c>
      <c r="F21" s="6" t="s">
        <v>191</v>
      </c>
      <c r="G21" s="6" t="s">
        <v>190</v>
      </c>
      <c r="H21" s="6">
        <v>56.49</v>
      </c>
      <c r="I21" s="6">
        <v>34.450000000000003</v>
      </c>
      <c r="J21" s="6">
        <v>23.1</v>
      </c>
      <c r="K21" s="6">
        <v>56.2</v>
      </c>
      <c r="L21" s="6">
        <v>160.33000000000001</v>
      </c>
      <c r="Q21" s="6" t="s">
        <v>319</v>
      </c>
      <c r="R21" s="6">
        <v>3</v>
      </c>
      <c r="S21" s="6">
        <f t="shared" si="0"/>
        <v>17</v>
      </c>
      <c r="T21" s="6">
        <v>3</v>
      </c>
      <c r="U21" s="6">
        <v>14</v>
      </c>
      <c r="V21" s="6">
        <v>45</v>
      </c>
      <c r="W21" s="6">
        <v>17.630273346434858</v>
      </c>
      <c r="AL21" s="6">
        <f t="shared" si="1"/>
        <v>3</v>
      </c>
      <c r="AM21" s="6">
        <f t="shared" si="2"/>
        <v>17</v>
      </c>
      <c r="AN21" s="6">
        <v>0.76321529638246133</v>
      </c>
      <c r="AQ21" s="6">
        <f t="shared" si="3"/>
        <v>0.76321529638246133</v>
      </c>
      <c r="AR21" s="6">
        <v>76</v>
      </c>
      <c r="AS21" s="6">
        <v>0.5</v>
      </c>
      <c r="AT21" s="2">
        <v>0.21706811627264624</v>
      </c>
      <c r="AU21" s="2">
        <v>79.336230058956858</v>
      </c>
      <c r="AV21" s="2">
        <f t="shared" si="4"/>
        <v>0.28067111582361376</v>
      </c>
    </row>
    <row r="22" spans="1:48" ht="15.6" x14ac:dyDescent="0.25">
      <c r="A22" s="5" t="s">
        <v>20</v>
      </c>
      <c r="B22" s="5" t="s">
        <v>168</v>
      </c>
      <c r="C22" s="6" t="s">
        <v>307</v>
      </c>
      <c r="D22" s="6" t="s">
        <v>172</v>
      </c>
      <c r="E22" s="5" t="s">
        <v>312</v>
      </c>
      <c r="F22" s="6" t="s">
        <v>191</v>
      </c>
      <c r="G22" s="6" t="s">
        <v>190</v>
      </c>
      <c r="H22" s="6">
        <v>49.71</v>
      </c>
      <c r="I22" s="6">
        <v>37.729999999999997</v>
      </c>
      <c r="J22" s="6">
        <v>19.920000000000002</v>
      </c>
      <c r="K22" s="6">
        <v>32.4</v>
      </c>
      <c r="L22" s="6">
        <v>121.94</v>
      </c>
      <c r="Q22" s="6" t="s">
        <v>319</v>
      </c>
      <c r="R22" s="6">
        <v>2</v>
      </c>
      <c r="S22" s="6">
        <f t="shared" si="0"/>
        <v>11</v>
      </c>
      <c r="T22" s="6">
        <v>2</v>
      </c>
      <c r="U22" s="6">
        <v>9</v>
      </c>
      <c r="V22" s="6">
        <v>51.53</v>
      </c>
      <c r="W22" s="6">
        <v>8.9885891886005993</v>
      </c>
      <c r="AL22" s="6">
        <f t="shared" si="1"/>
        <v>2</v>
      </c>
      <c r="AM22" s="6">
        <f t="shared" si="2"/>
        <v>11</v>
      </c>
      <c r="AN22" s="6">
        <v>0.45123439701810236</v>
      </c>
      <c r="AQ22" s="6">
        <f t="shared" si="3"/>
        <v>0.45123439701810236</v>
      </c>
      <c r="AR22" s="6">
        <v>56.333333333333336</v>
      </c>
      <c r="AS22" s="6">
        <v>0.7</v>
      </c>
      <c r="AT22" s="2">
        <v>6.7743927252326655E-2</v>
      </c>
      <c r="AU22" s="2">
        <v>46.318200088858887</v>
      </c>
      <c r="AV22" s="2">
        <f t="shared" si="4"/>
        <v>0.42258487780875842</v>
      </c>
    </row>
    <row r="23" spans="1:48" ht="15.6" x14ac:dyDescent="0.25">
      <c r="A23" s="5" t="s">
        <v>21</v>
      </c>
      <c r="B23" s="5" t="s">
        <v>168</v>
      </c>
      <c r="C23" s="6" t="s">
        <v>307</v>
      </c>
      <c r="D23" s="6" t="s">
        <v>185</v>
      </c>
      <c r="E23" s="5" t="s">
        <v>313</v>
      </c>
      <c r="F23" s="6">
        <v>0</v>
      </c>
      <c r="G23" s="6" t="s">
        <v>315</v>
      </c>
      <c r="H23" s="6">
        <v>70.03</v>
      </c>
      <c r="I23" s="6">
        <v>54.7</v>
      </c>
      <c r="J23" s="6">
        <v>26.85</v>
      </c>
      <c r="K23" s="6">
        <v>94.5</v>
      </c>
      <c r="L23" s="6">
        <v>174.66</v>
      </c>
      <c r="Q23" s="6" t="s">
        <v>319</v>
      </c>
      <c r="R23" s="6">
        <v>3</v>
      </c>
      <c r="S23" s="6">
        <f t="shared" si="0"/>
        <v>8</v>
      </c>
      <c r="T23" s="6">
        <v>2</v>
      </c>
      <c r="U23" s="6">
        <v>6</v>
      </c>
      <c r="V23" s="6">
        <v>49.33</v>
      </c>
      <c r="W23" s="6">
        <v>16.777359243677918</v>
      </c>
      <c r="X23" s="6" t="s">
        <v>319</v>
      </c>
      <c r="Y23" s="6">
        <v>2</v>
      </c>
      <c r="Z23" s="6">
        <f t="shared" si="5"/>
        <v>3</v>
      </c>
      <c r="AA23" s="6">
        <v>2</v>
      </c>
      <c r="AB23" s="6">
        <v>1</v>
      </c>
      <c r="AC23" s="6">
        <v>39.96</v>
      </c>
      <c r="AD23" s="6">
        <v>11.196577131452354</v>
      </c>
      <c r="AL23" s="6">
        <f t="shared" si="1"/>
        <v>2.5</v>
      </c>
      <c r="AM23" s="6">
        <f t="shared" si="2"/>
        <v>11</v>
      </c>
      <c r="AN23" s="6">
        <v>0.62485509287441032</v>
      </c>
      <c r="AO23" s="6">
        <v>0.41700473487718265</v>
      </c>
      <c r="AQ23" s="6">
        <f t="shared" si="3"/>
        <v>0.52092991387579646</v>
      </c>
      <c r="AR23" s="6">
        <v>66.683333333333337</v>
      </c>
      <c r="AS23" s="6">
        <v>0.75</v>
      </c>
      <c r="AT23" s="2">
        <v>0.13001741737511077</v>
      </c>
      <c r="AU23" s="2">
        <v>249.77927789353816</v>
      </c>
      <c r="AV23" s="2">
        <f t="shared" si="4"/>
        <v>0.5112218023588686</v>
      </c>
    </row>
    <row r="24" spans="1:48" ht="15.6" x14ac:dyDescent="0.25">
      <c r="A24" s="5" t="s">
        <v>22</v>
      </c>
      <c r="B24" s="5" t="s">
        <v>168</v>
      </c>
      <c r="C24" s="6" t="s">
        <v>307</v>
      </c>
      <c r="D24" s="6" t="s">
        <v>177</v>
      </c>
      <c r="E24" s="5" t="s">
        <v>312</v>
      </c>
      <c r="F24" s="6" t="s">
        <v>193</v>
      </c>
      <c r="G24" s="6" t="s">
        <v>318</v>
      </c>
      <c r="H24" s="6">
        <v>39.299999999999997</v>
      </c>
      <c r="I24" s="6">
        <v>33.9</v>
      </c>
      <c r="J24" s="6">
        <v>15.5</v>
      </c>
      <c r="K24" s="6">
        <v>15.9</v>
      </c>
      <c r="L24" s="6">
        <v>103.33999999999999</v>
      </c>
      <c r="Q24" s="6" t="s">
        <v>319</v>
      </c>
      <c r="R24" s="6">
        <v>2</v>
      </c>
      <c r="S24" s="6">
        <f t="shared" si="0"/>
        <v>7</v>
      </c>
      <c r="T24" s="6">
        <v>3</v>
      </c>
      <c r="U24" s="6">
        <v>4</v>
      </c>
      <c r="V24" s="6">
        <v>28.96</v>
      </c>
      <c r="W24" s="6">
        <v>10.746361523073173</v>
      </c>
      <c r="AL24" s="6">
        <f t="shared" si="1"/>
        <v>2</v>
      </c>
      <c r="AM24" s="6">
        <f t="shared" si="2"/>
        <v>7</v>
      </c>
      <c r="AN24" s="6">
        <v>0.69331364664988215</v>
      </c>
      <c r="AQ24" s="6">
        <f t="shared" si="3"/>
        <v>0.69331364664988215</v>
      </c>
      <c r="AR24" s="6">
        <v>45.333333333333336</v>
      </c>
      <c r="AS24" s="6">
        <v>0.875</v>
      </c>
      <c r="AT24" s="2">
        <v>7.3269829916935342E-2</v>
      </c>
      <c r="AU24" s="2">
        <v>31.121462970819909</v>
      </c>
      <c r="AV24" s="2">
        <f t="shared" si="4"/>
        <v>0.28023998451712795</v>
      </c>
    </row>
    <row r="25" spans="1:48" ht="15.6" x14ac:dyDescent="0.25">
      <c r="A25" s="5" t="s">
        <v>23</v>
      </c>
      <c r="B25" s="5" t="s">
        <v>168</v>
      </c>
      <c r="C25" s="6" t="s">
        <v>307</v>
      </c>
      <c r="D25" s="6" t="s">
        <v>174</v>
      </c>
      <c r="E25" s="5" t="s">
        <v>313</v>
      </c>
      <c r="F25" s="6" t="s">
        <v>193</v>
      </c>
      <c r="G25" s="6" t="s">
        <v>318</v>
      </c>
      <c r="H25" s="6">
        <v>103.46</v>
      </c>
      <c r="I25" s="6">
        <v>79.75</v>
      </c>
      <c r="J25" s="6">
        <v>44.2</v>
      </c>
      <c r="K25" s="6">
        <v>357.1</v>
      </c>
      <c r="L25" s="6">
        <v>264.04000000000002</v>
      </c>
      <c r="Q25" s="6" t="s">
        <v>319</v>
      </c>
      <c r="R25" s="6">
        <v>3</v>
      </c>
      <c r="S25" s="6">
        <f t="shared" si="0"/>
        <v>14</v>
      </c>
      <c r="T25" s="6">
        <v>5</v>
      </c>
      <c r="U25" s="6">
        <v>9</v>
      </c>
      <c r="V25" s="6">
        <v>73.13</v>
      </c>
      <c r="W25" s="6">
        <v>24.31741237289777</v>
      </c>
      <c r="X25" s="6" t="s">
        <v>319</v>
      </c>
      <c r="Y25" s="6">
        <v>2</v>
      </c>
      <c r="Z25" s="6">
        <f t="shared" si="5"/>
        <v>12</v>
      </c>
      <c r="AA25" s="6">
        <v>0</v>
      </c>
      <c r="AB25" s="6">
        <v>12</v>
      </c>
      <c r="AC25" s="6">
        <v>74.09</v>
      </c>
      <c r="AD25" s="6">
        <v>23.356222843902469</v>
      </c>
      <c r="AL25" s="6">
        <f t="shared" si="1"/>
        <v>2.5</v>
      </c>
      <c r="AM25" s="6">
        <f t="shared" si="2"/>
        <v>26</v>
      </c>
      <c r="AN25" s="6">
        <v>0.55016770074429344</v>
      </c>
      <c r="AO25" s="6">
        <v>0.52842133131001057</v>
      </c>
      <c r="AQ25" s="6">
        <f t="shared" si="3"/>
        <v>0.53929451602715206</v>
      </c>
      <c r="AR25" s="6">
        <v>71.541666666666671</v>
      </c>
      <c r="AS25" s="6">
        <v>0.625</v>
      </c>
      <c r="AT25" s="2">
        <v>0.14752185309947935</v>
      </c>
      <c r="AU25" s="2">
        <v>701.85125766173303</v>
      </c>
      <c r="AV25" s="2">
        <f t="shared" si="4"/>
        <v>0.55756703529768215</v>
      </c>
    </row>
    <row r="26" spans="1:48" ht="15.6" x14ac:dyDescent="0.25">
      <c r="A26" s="5" t="s">
        <v>24</v>
      </c>
      <c r="B26" s="5" t="s">
        <v>168</v>
      </c>
      <c r="C26" s="6" t="s">
        <v>307</v>
      </c>
      <c r="D26" s="6" t="s">
        <v>172</v>
      </c>
      <c r="E26" s="5" t="s">
        <v>312</v>
      </c>
      <c r="F26" s="6" t="s">
        <v>192</v>
      </c>
      <c r="G26" s="6" t="s">
        <v>190</v>
      </c>
      <c r="H26" s="6">
        <v>61.57</v>
      </c>
      <c r="I26" s="6">
        <v>47.32</v>
      </c>
      <c r="J26" s="6">
        <v>22.92</v>
      </c>
      <c r="K26" s="6">
        <v>70.7</v>
      </c>
      <c r="L26" s="6">
        <v>155.12</v>
      </c>
      <c r="M26" s="6" t="s">
        <v>197</v>
      </c>
      <c r="N26" s="6">
        <v>10.17</v>
      </c>
      <c r="O26" s="6">
        <v>15.01</v>
      </c>
      <c r="P26" s="6">
        <v>131</v>
      </c>
      <c r="Q26" s="6" t="s">
        <v>319</v>
      </c>
      <c r="R26" s="6">
        <v>1</v>
      </c>
      <c r="S26" s="6">
        <f t="shared" si="0"/>
        <v>9</v>
      </c>
      <c r="T26" s="6">
        <v>2</v>
      </c>
      <c r="U26" s="6">
        <v>7</v>
      </c>
      <c r="V26" s="6">
        <v>55.76</v>
      </c>
      <c r="W26" s="6">
        <v>4.9149122657339506</v>
      </c>
      <c r="AL26" s="6">
        <f t="shared" si="1"/>
        <v>1</v>
      </c>
      <c r="AM26" s="6">
        <f t="shared" si="2"/>
        <v>9</v>
      </c>
      <c r="AN26" s="6">
        <v>0.21443770792905542</v>
      </c>
      <c r="AQ26" s="6">
        <f t="shared" si="3"/>
        <v>0.21443770792905542</v>
      </c>
      <c r="AR26" s="6">
        <v>55</v>
      </c>
      <c r="AS26" s="6">
        <v>0.5</v>
      </c>
      <c r="AT26" s="2">
        <v>9.4014733255042161E-3</v>
      </c>
      <c r="AU26" s="2">
        <v>27.405550793732505</v>
      </c>
      <c r="AV26" s="2">
        <f t="shared" si="4"/>
        <v>0.35946364105208867</v>
      </c>
    </row>
    <row r="27" spans="1:48" ht="15.6" x14ac:dyDescent="0.25">
      <c r="A27" s="5" t="s">
        <v>25</v>
      </c>
      <c r="B27" s="5" t="s">
        <v>168</v>
      </c>
      <c r="C27" s="6" t="s">
        <v>307</v>
      </c>
      <c r="D27" s="6" t="s">
        <v>171</v>
      </c>
      <c r="E27" s="5" t="s">
        <v>312</v>
      </c>
      <c r="F27" s="6" t="s">
        <v>191</v>
      </c>
      <c r="G27" s="6" t="s">
        <v>190</v>
      </c>
      <c r="H27" s="6">
        <v>60.06</v>
      </c>
      <c r="I27" s="6">
        <v>57.38</v>
      </c>
      <c r="J27" s="6">
        <v>32.700000000000003</v>
      </c>
      <c r="K27" s="6">
        <v>93.4</v>
      </c>
      <c r="L27" s="6">
        <v>170.32999999999998</v>
      </c>
      <c r="Q27" s="6" t="s">
        <v>319</v>
      </c>
      <c r="R27" s="6">
        <v>2</v>
      </c>
      <c r="S27" s="6">
        <f t="shared" si="0"/>
        <v>7</v>
      </c>
      <c r="T27" s="6">
        <v>3</v>
      </c>
      <c r="U27" s="6">
        <v>4</v>
      </c>
      <c r="V27" s="6">
        <v>40.78</v>
      </c>
      <c r="W27" s="6">
        <v>9.0718168662728278</v>
      </c>
      <c r="AL27" s="6">
        <f t="shared" si="1"/>
        <v>2</v>
      </c>
      <c r="AM27" s="6">
        <f t="shared" si="2"/>
        <v>7</v>
      </c>
      <c r="AN27" s="6">
        <v>0.27742559224075924</v>
      </c>
      <c r="AQ27" s="6">
        <f t="shared" si="3"/>
        <v>0.27742559224075924</v>
      </c>
      <c r="AR27" s="6">
        <v>56.333333333333336</v>
      </c>
      <c r="AS27" s="6">
        <v>0.5</v>
      </c>
      <c r="AT27" s="2">
        <v>7.0267366262627612E-2</v>
      </c>
      <c r="AU27" s="2">
        <v>36.994869180660594</v>
      </c>
      <c r="AV27" s="2">
        <f t="shared" si="4"/>
        <v>0.23941760112722366</v>
      </c>
    </row>
    <row r="28" spans="1:48" ht="15.6" x14ac:dyDescent="0.25">
      <c r="A28" s="5" t="s">
        <v>26</v>
      </c>
      <c r="B28" s="5" t="s">
        <v>168</v>
      </c>
      <c r="C28" s="6" t="s">
        <v>307</v>
      </c>
      <c r="D28" s="6" t="s">
        <v>172</v>
      </c>
      <c r="E28" s="5" t="s">
        <v>312</v>
      </c>
      <c r="F28" s="6" t="s">
        <v>189</v>
      </c>
      <c r="G28" s="6" t="s">
        <v>190</v>
      </c>
      <c r="H28" s="6">
        <v>72.739999999999995</v>
      </c>
      <c r="I28" s="6">
        <v>55.7</v>
      </c>
      <c r="J28" s="6">
        <v>28.44</v>
      </c>
      <c r="K28" s="6">
        <v>131.19999999999999</v>
      </c>
      <c r="L28" s="6">
        <v>189.77</v>
      </c>
      <c r="Q28" s="6" t="s">
        <v>319</v>
      </c>
      <c r="R28" s="6">
        <v>3</v>
      </c>
      <c r="S28" s="6">
        <f t="shared" si="0"/>
        <v>9</v>
      </c>
      <c r="T28" s="6">
        <v>1</v>
      </c>
      <c r="U28" s="6">
        <v>8</v>
      </c>
      <c r="V28" s="6">
        <v>38.03</v>
      </c>
      <c r="W28" s="6">
        <v>28.187738430246146</v>
      </c>
      <c r="AL28" s="6">
        <f t="shared" si="1"/>
        <v>3</v>
      </c>
      <c r="AM28" s="6">
        <f t="shared" si="2"/>
        <v>9</v>
      </c>
      <c r="AN28" s="6">
        <v>0.99113004325760001</v>
      </c>
      <c r="AQ28" s="6">
        <f t="shared" si="3"/>
        <v>0.99113004325760001</v>
      </c>
      <c r="AR28" s="6">
        <v>64.5</v>
      </c>
      <c r="AS28" s="6">
        <v>0.5</v>
      </c>
      <c r="AT28" s="2"/>
      <c r="AU28" s="2">
        <v>107.19796925022611</v>
      </c>
      <c r="AV28" s="2">
        <f t="shared" si="4"/>
        <v>0.20040048479738631</v>
      </c>
    </row>
    <row r="29" spans="1:48" ht="15.6" x14ac:dyDescent="0.25">
      <c r="A29" s="5" t="s">
        <v>27</v>
      </c>
      <c r="B29" s="5" t="s">
        <v>168</v>
      </c>
      <c r="C29" s="6" t="s">
        <v>307</v>
      </c>
      <c r="D29" s="6" t="s">
        <v>171</v>
      </c>
      <c r="E29" s="5" t="s">
        <v>312</v>
      </c>
      <c r="F29" s="6" t="s">
        <v>189</v>
      </c>
      <c r="G29" s="6" t="s">
        <v>190</v>
      </c>
      <c r="H29" s="6">
        <v>51.5</v>
      </c>
      <c r="I29" s="6">
        <v>46</v>
      </c>
      <c r="J29" s="6">
        <v>20.9</v>
      </c>
      <c r="K29" s="6">
        <v>49.7</v>
      </c>
      <c r="L29" s="6">
        <v>149.46999999999997</v>
      </c>
      <c r="M29" s="6" t="s">
        <v>196</v>
      </c>
      <c r="N29" s="6">
        <v>14</v>
      </c>
      <c r="O29" s="6">
        <v>30.6</v>
      </c>
      <c r="P29" s="6">
        <v>133</v>
      </c>
      <c r="Q29" s="6" t="s">
        <v>319</v>
      </c>
      <c r="R29" s="6">
        <v>2</v>
      </c>
      <c r="S29" s="6">
        <f t="shared" si="0"/>
        <v>15</v>
      </c>
      <c r="T29" s="6">
        <v>0</v>
      </c>
      <c r="U29" s="6">
        <v>15</v>
      </c>
      <c r="V29" s="6">
        <v>40.049999999999997</v>
      </c>
      <c r="W29" s="6">
        <v>7.7074106932948903</v>
      </c>
      <c r="AL29" s="6">
        <f t="shared" si="1"/>
        <v>2</v>
      </c>
      <c r="AM29" s="6">
        <f t="shared" si="2"/>
        <v>15</v>
      </c>
      <c r="AN29" s="6">
        <v>0.36877563125812873</v>
      </c>
      <c r="AQ29" s="6">
        <f t="shared" si="3"/>
        <v>0.36877563125812873</v>
      </c>
      <c r="AR29" s="6">
        <v>78.333333333333329</v>
      </c>
      <c r="AS29" s="6">
        <v>0.5</v>
      </c>
      <c r="AT29" s="2">
        <v>1.4513099162771702E-2</v>
      </c>
      <c r="AU29" s="2">
        <v>30.868179826646031</v>
      </c>
      <c r="AV29" s="2">
        <f t="shared" si="4"/>
        <v>0.26794674516625411</v>
      </c>
    </row>
    <row r="30" spans="1:48" ht="15.6" x14ac:dyDescent="0.25">
      <c r="A30" s="5" t="s">
        <v>28</v>
      </c>
      <c r="B30" s="5" t="s">
        <v>168</v>
      </c>
      <c r="C30" s="6" t="s">
        <v>307</v>
      </c>
      <c r="D30" s="6" t="s">
        <v>172</v>
      </c>
      <c r="E30" s="5" t="s">
        <v>312</v>
      </c>
      <c r="F30" s="6" t="s">
        <v>193</v>
      </c>
      <c r="G30" s="6" t="s">
        <v>318</v>
      </c>
      <c r="H30" s="6">
        <v>82.39</v>
      </c>
      <c r="I30" s="6">
        <v>81.069999999999993</v>
      </c>
      <c r="J30" s="6">
        <v>38.6</v>
      </c>
      <c r="K30" s="6">
        <v>250.2</v>
      </c>
      <c r="L30" s="6">
        <v>238.71</v>
      </c>
      <c r="Q30" s="6" t="s">
        <v>319</v>
      </c>
      <c r="R30" s="6">
        <v>3</v>
      </c>
      <c r="S30" s="6">
        <f t="shared" si="0"/>
        <v>16</v>
      </c>
      <c r="T30" s="6">
        <v>2</v>
      </c>
      <c r="U30" s="6">
        <v>14</v>
      </c>
      <c r="V30" s="6">
        <v>78.430000000000007</v>
      </c>
      <c r="W30" s="6">
        <v>40.196644433595488</v>
      </c>
      <c r="AL30" s="6">
        <f t="shared" si="1"/>
        <v>3</v>
      </c>
      <c r="AM30" s="6">
        <f t="shared" si="2"/>
        <v>16</v>
      </c>
      <c r="AN30" s="6">
        <v>1</v>
      </c>
      <c r="AQ30" s="6">
        <f t="shared" si="3"/>
        <v>1</v>
      </c>
      <c r="AR30" s="6">
        <v>87.666666666666671</v>
      </c>
      <c r="AS30" s="6">
        <v>0.9</v>
      </c>
      <c r="AT30" s="2"/>
      <c r="AU30" s="2">
        <v>315.26228229268946</v>
      </c>
      <c r="AV30" s="2">
        <f t="shared" si="4"/>
        <v>0.32855766411126475</v>
      </c>
    </row>
    <row r="31" spans="1:48" ht="15.6" x14ac:dyDescent="0.25">
      <c r="A31" s="5" t="s">
        <v>29</v>
      </c>
      <c r="B31" s="5" t="s">
        <v>168</v>
      </c>
      <c r="C31" s="6" t="s">
        <v>307</v>
      </c>
      <c r="D31" s="6" t="s">
        <v>310</v>
      </c>
      <c r="E31" s="5" t="s">
        <v>312</v>
      </c>
      <c r="F31" s="6" t="s">
        <v>193</v>
      </c>
      <c r="G31" s="6" t="s">
        <v>318</v>
      </c>
      <c r="H31" s="6">
        <v>67.400000000000006</v>
      </c>
      <c r="I31" s="6">
        <v>63.67</v>
      </c>
      <c r="J31" s="6">
        <v>27.5</v>
      </c>
      <c r="K31" s="6">
        <v>129.69999999999999</v>
      </c>
      <c r="L31" s="6">
        <v>189.95000000000002</v>
      </c>
      <c r="M31" s="6" t="s">
        <v>196</v>
      </c>
      <c r="N31" s="6">
        <v>23.91</v>
      </c>
      <c r="O31" s="6">
        <v>42.48</v>
      </c>
      <c r="P31" s="6">
        <v>120</v>
      </c>
      <c r="Q31" s="6" t="s">
        <v>320</v>
      </c>
      <c r="R31" s="6">
        <v>3</v>
      </c>
      <c r="S31" s="6">
        <f t="shared" si="0"/>
        <v>20</v>
      </c>
      <c r="T31" s="6">
        <v>7</v>
      </c>
      <c r="U31" s="6">
        <v>13</v>
      </c>
      <c r="V31" s="6">
        <v>101.00999999999999</v>
      </c>
      <c r="W31" s="6">
        <v>16.749153827852446</v>
      </c>
      <c r="AL31" s="6">
        <f t="shared" si="1"/>
        <v>3</v>
      </c>
      <c r="AM31" s="6">
        <f t="shared" si="2"/>
        <v>20</v>
      </c>
      <c r="AN31" s="6">
        <v>0.60906013919463442</v>
      </c>
      <c r="AQ31" s="6">
        <f t="shared" si="3"/>
        <v>0.60906013919463442</v>
      </c>
      <c r="AR31" s="6">
        <v>75</v>
      </c>
      <c r="AS31" s="6">
        <v>1</v>
      </c>
      <c r="AT31" s="2">
        <v>0.37939300484867972</v>
      </c>
      <c r="AU31" s="2">
        <v>169.18320281513755</v>
      </c>
      <c r="AV31" s="2">
        <f t="shared" si="4"/>
        <v>0.53177151882074225</v>
      </c>
    </row>
    <row r="32" spans="1:48" ht="15.6" x14ac:dyDescent="0.25">
      <c r="A32" s="5" t="s">
        <v>30</v>
      </c>
      <c r="B32" s="5" t="s">
        <v>168</v>
      </c>
      <c r="C32" s="6" t="s">
        <v>307</v>
      </c>
      <c r="D32" s="6" t="s">
        <v>173</v>
      </c>
      <c r="E32" s="5" t="s">
        <v>312</v>
      </c>
      <c r="F32" s="6" t="s">
        <v>193</v>
      </c>
      <c r="G32" s="6" t="s">
        <v>318</v>
      </c>
      <c r="H32" s="6">
        <v>74.739999999999995</v>
      </c>
      <c r="I32" s="6">
        <v>54.29</v>
      </c>
      <c r="J32" s="6">
        <v>27.1</v>
      </c>
      <c r="K32" s="6">
        <v>106.2</v>
      </c>
      <c r="L32" s="6">
        <v>199.04</v>
      </c>
      <c r="Q32" s="6" t="s">
        <v>319</v>
      </c>
      <c r="R32" s="6">
        <v>2</v>
      </c>
      <c r="S32" s="6">
        <f t="shared" si="0"/>
        <v>8</v>
      </c>
      <c r="T32" s="6">
        <v>3</v>
      </c>
      <c r="U32" s="6">
        <v>5</v>
      </c>
      <c r="V32" s="6">
        <v>55.12</v>
      </c>
      <c r="W32" s="6">
        <v>21.450779901224649</v>
      </c>
      <c r="AL32" s="6">
        <f t="shared" si="1"/>
        <v>2</v>
      </c>
      <c r="AM32" s="6">
        <f t="shared" si="2"/>
        <v>8</v>
      </c>
      <c r="AN32" s="6">
        <v>0.79154169377212724</v>
      </c>
      <c r="AQ32" s="6">
        <f t="shared" si="3"/>
        <v>0.79154169377212724</v>
      </c>
      <c r="AR32" s="6">
        <v>62.333333333333336</v>
      </c>
      <c r="AS32" s="6">
        <v>0.5</v>
      </c>
      <c r="AT32" s="2">
        <v>0.22202556847924501</v>
      </c>
      <c r="AU32" s="2">
        <v>118.23669881555027</v>
      </c>
      <c r="AV32" s="2">
        <f t="shared" si="4"/>
        <v>0.27692926045016075</v>
      </c>
    </row>
    <row r="33" spans="1:48" ht="15.6" x14ac:dyDescent="0.25">
      <c r="A33" s="5" t="s">
        <v>31</v>
      </c>
      <c r="B33" s="5" t="s">
        <v>168</v>
      </c>
      <c r="C33" s="6" t="s">
        <v>307</v>
      </c>
      <c r="D33" s="6" t="s">
        <v>175</v>
      </c>
      <c r="E33" s="5" t="s">
        <v>313</v>
      </c>
      <c r="F33" s="6">
        <v>0</v>
      </c>
      <c r="G33" s="6" t="s">
        <v>315</v>
      </c>
      <c r="H33" s="6">
        <v>81.459999999999994</v>
      </c>
      <c r="I33" s="6">
        <v>59.944000000000003</v>
      </c>
      <c r="J33" s="6">
        <v>31.5</v>
      </c>
      <c r="K33" s="6">
        <v>142.19999999999999</v>
      </c>
      <c r="L33" s="6">
        <v>209.73999999999998</v>
      </c>
      <c r="M33" s="6" t="s">
        <v>198</v>
      </c>
      <c r="N33" s="6">
        <v>20.43</v>
      </c>
      <c r="O33" s="6">
        <v>45.58</v>
      </c>
      <c r="P33" s="6">
        <v>119</v>
      </c>
      <c r="Q33" s="6" t="s">
        <v>319</v>
      </c>
      <c r="R33" s="6">
        <v>3</v>
      </c>
      <c r="S33" s="6">
        <f t="shared" si="0"/>
        <v>11</v>
      </c>
      <c r="T33" s="6">
        <v>3</v>
      </c>
      <c r="U33" s="6">
        <v>8</v>
      </c>
      <c r="V33" s="6">
        <v>49.19</v>
      </c>
      <c r="W33" s="6">
        <v>18.922266658129271</v>
      </c>
      <c r="X33" s="6" t="s">
        <v>319</v>
      </c>
      <c r="Y33" s="6">
        <v>3</v>
      </c>
      <c r="Z33" s="6">
        <f t="shared" si="5"/>
        <v>7</v>
      </c>
      <c r="AA33" s="6">
        <v>1</v>
      </c>
      <c r="AB33" s="6">
        <v>6</v>
      </c>
      <c r="AC33" s="6">
        <v>45.129999999999995</v>
      </c>
      <c r="AD33" s="6">
        <v>19.761319852272681</v>
      </c>
      <c r="AL33" s="6">
        <f t="shared" si="1"/>
        <v>3</v>
      </c>
      <c r="AM33" s="6">
        <f t="shared" si="2"/>
        <v>18</v>
      </c>
      <c r="AN33" s="6">
        <v>0.60070687803584988</v>
      </c>
      <c r="AO33" s="6">
        <v>0.62734348737373591</v>
      </c>
      <c r="AQ33" s="6">
        <f t="shared" si="3"/>
        <v>0.61402518270479289</v>
      </c>
      <c r="AR33" s="6">
        <v>73.349999999999994</v>
      </c>
      <c r="AS33" s="6">
        <v>0.5</v>
      </c>
      <c r="AT33" s="2">
        <v>0.22222151911893384</v>
      </c>
      <c r="AU33" s="2">
        <v>364.86358796611114</v>
      </c>
      <c r="AV33" s="2">
        <f t="shared" si="4"/>
        <v>0.44969962811099456</v>
      </c>
    </row>
    <row r="34" spans="1:48" ht="15.6" x14ac:dyDescent="0.25">
      <c r="A34" s="5" t="s">
        <v>32</v>
      </c>
      <c r="B34" s="5" t="s">
        <v>168</v>
      </c>
      <c r="C34" s="6" t="s">
        <v>307</v>
      </c>
      <c r="D34" s="6" t="s">
        <v>172</v>
      </c>
      <c r="E34" s="5" t="s">
        <v>312</v>
      </c>
      <c r="F34" s="6" t="s">
        <v>191</v>
      </c>
      <c r="G34" s="6" t="s">
        <v>190</v>
      </c>
      <c r="H34" s="6">
        <v>75.099999999999994</v>
      </c>
      <c r="I34" s="6">
        <v>72</v>
      </c>
      <c r="J34" s="6">
        <v>35.700000000000003</v>
      </c>
      <c r="K34" s="6">
        <v>174</v>
      </c>
      <c r="L34" s="6">
        <v>207.08</v>
      </c>
      <c r="Q34" s="6" t="s">
        <v>319</v>
      </c>
      <c r="R34" s="6">
        <v>2</v>
      </c>
      <c r="S34" s="6">
        <f t="shared" si="0"/>
        <v>12</v>
      </c>
      <c r="T34" s="6">
        <v>6</v>
      </c>
      <c r="U34" s="6">
        <v>6</v>
      </c>
      <c r="V34" s="6">
        <v>92.56</v>
      </c>
      <c r="W34" s="6">
        <v>35.036401663351207</v>
      </c>
      <c r="AL34" s="6">
        <f t="shared" si="1"/>
        <v>2</v>
      </c>
      <c r="AM34" s="6">
        <f t="shared" si="2"/>
        <v>12</v>
      </c>
      <c r="AN34" s="6">
        <v>0.98141181129835309</v>
      </c>
      <c r="AQ34" s="6">
        <f t="shared" si="3"/>
        <v>0.98141181129835309</v>
      </c>
      <c r="AR34" s="6">
        <v>68.333333333333329</v>
      </c>
      <c r="AS34" s="6">
        <v>0.5</v>
      </c>
      <c r="AT34" s="2">
        <v>0.55698135931177917</v>
      </c>
      <c r="AU34" s="2">
        <v>324.29693379597882</v>
      </c>
      <c r="AV34" s="2">
        <f t="shared" si="4"/>
        <v>0.44697701371450643</v>
      </c>
    </row>
    <row r="35" spans="1:48" ht="15.6" x14ac:dyDescent="0.25">
      <c r="A35" s="5" t="s">
        <v>33</v>
      </c>
      <c r="B35" s="5" t="s">
        <v>168</v>
      </c>
      <c r="C35" s="6" t="s">
        <v>307</v>
      </c>
      <c r="D35" s="6" t="s">
        <v>172</v>
      </c>
      <c r="E35" s="5" t="s">
        <v>312</v>
      </c>
      <c r="F35" s="6">
        <v>0</v>
      </c>
      <c r="G35" s="6" t="s">
        <v>315</v>
      </c>
      <c r="H35" s="6">
        <v>55.1</v>
      </c>
      <c r="I35" s="6">
        <v>39</v>
      </c>
      <c r="J35" s="6">
        <v>24.58</v>
      </c>
      <c r="K35" s="6">
        <v>47.5</v>
      </c>
      <c r="L35" s="6">
        <v>137.76</v>
      </c>
      <c r="M35" s="6" t="s">
        <v>196</v>
      </c>
      <c r="N35" s="6">
        <v>13.19</v>
      </c>
      <c r="O35" s="6">
        <v>18.63</v>
      </c>
      <c r="P35" s="6">
        <v>90</v>
      </c>
      <c r="Q35" s="6" t="s">
        <v>319</v>
      </c>
      <c r="R35" s="6">
        <v>2</v>
      </c>
      <c r="S35" s="6">
        <f t="shared" si="0"/>
        <v>9</v>
      </c>
      <c r="T35" s="6">
        <v>3</v>
      </c>
      <c r="U35" s="6">
        <v>6</v>
      </c>
      <c r="V35" s="6">
        <v>52.980000000000004</v>
      </c>
      <c r="W35" s="6">
        <v>19.336566174175516</v>
      </c>
      <c r="AL35" s="6">
        <f t="shared" si="1"/>
        <v>2</v>
      </c>
      <c r="AM35" s="6">
        <f t="shared" si="2"/>
        <v>9</v>
      </c>
      <c r="AN35" s="6">
        <v>0.78667885167516349</v>
      </c>
      <c r="AQ35" s="6">
        <f t="shared" si="3"/>
        <v>0.78667885167516349</v>
      </c>
      <c r="AR35" s="6">
        <v>76.333333333333329</v>
      </c>
      <c r="AS35" s="6">
        <v>0.75</v>
      </c>
      <c r="AT35" s="2">
        <v>0.3604177033361059</v>
      </c>
      <c r="AU35" s="2">
        <v>102.44512759078188</v>
      </c>
      <c r="AV35" s="2">
        <f t="shared" si="4"/>
        <v>0.38458188153310108</v>
      </c>
    </row>
    <row r="36" spans="1:48" ht="15.6" x14ac:dyDescent="0.25">
      <c r="A36" s="5" t="s">
        <v>34</v>
      </c>
      <c r="B36" s="5" t="s">
        <v>168</v>
      </c>
      <c r="C36" s="6" t="s">
        <v>307</v>
      </c>
      <c r="D36" s="6" t="s">
        <v>178</v>
      </c>
      <c r="E36" s="5" t="s">
        <v>312</v>
      </c>
      <c r="F36" s="6" t="s">
        <v>189</v>
      </c>
      <c r="G36" s="6" t="s">
        <v>190</v>
      </c>
      <c r="H36" s="6">
        <v>77.900000000000006</v>
      </c>
      <c r="I36" s="6">
        <v>67.56</v>
      </c>
      <c r="J36" s="6">
        <v>27</v>
      </c>
      <c r="K36" s="6">
        <v>121.2</v>
      </c>
      <c r="L36" s="6">
        <v>215.3</v>
      </c>
      <c r="Q36" s="6" t="s">
        <v>319</v>
      </c>
      <c r="R36" s="6">
        <v>3</v>
      </c>
      <c r="S36" s="6">
        <f t="shared" si="0"/>
        <v>23</v>
      </c>
      <c r="T36" s="6">
        <v>5</v>
      </c>
      <c r="U36" s="6">
        <v>18</v>
      </c>
      <c r="V36" s="6">
        <v>81.72</v>
      </c>
      <c r="W36" s="6">
        <v>16.575620592477811</v>
      </c>
      <c r="AL36" s="6">
        <f t="shared" si="1"/>
        <v>3</v>
      </c>
      <c r="AM36" s="6">
        <f t="shared" si="2"/>
        <v>23</v>
      </c>
      <c r="AN36" s="6">
        <v>0.61391187379547452</v>
      </c>
      <c r="AQ36" s="6">
        <f t="shared" si="3"/>
        <v>0.61391187379547452</v>
      </c>
      <c r="AR36" s="6">
        <v>65.333333333333329</v>
      </c>
      <c r="AS36" s="6">
        <v>0.4</v>
      </c>
      <c r="AT36" s="2">
        <v>2.8997661360205679E-2</v>
      </c>
      <c r="AU36" s="2">
        <v>135.45597148172868</v>
      </c>
      <c r="AV36" s="2">
        <f t="shared" si="4"/>
        <v>0.37956339990710636</v>
      </c>
    </row>
    <row r="37" spans="1:48" ht="15.6" x14ac:dyDescent="0.25">
      <c r="A37" s="5" t="s">
        <v>35</v>
      </c>
      <c r="B37" s="5" t="s">
        <v>168</v>
      </c>
      <c r="C37" s="6" t="s">
        <v>307</v>
      </c>
      <c r="D37" s="6" t="s">
        <v>175</v>
      </c>
      <c r="E37" s="5" t="s">
        <v>313</v>
      </c>
      <c r="F37" s="6" t="s">
        <v>192</v>
      </c>
      <c r="G37" s="6" t="s">
        <v>317</v>
      </c>
      <c r="H37" s="6">
        <v>62.98</v>
      </c>
      <c r="I37" s="6">
        <v>52.4</v>
      </c>
      <c r="J37" s="6">
        <v>24.93</v>
      </c>
      <c r="K37" s="6">
        <v>77.400000000000006</v>
      </c>
      <c r="L37" s="6">
        <v>166.07999999999998</v>
      </c>
      <c r="M37" s="6" t="s">
        <v>196</v>
      </c>
      <c r="N37" s="6">
        <v>12.16</v>
      </c>
      <c r="O37" s="6">
        <v>40.36</v>
      </c>
      <c r="P37" s="6">
        <v>129.35</v>
      </c>
      <c r="Q37" s="6" t="s">
        <v>319</v>
      </c>
      <c r="R37" s="6">
        <v>3</v>
      </c>
      <c r="S37" s="6">
        <f t="shared" si="0"/>
        <v>19</v>
      </c>
      <c r="T37" s="6">
        <v>2</v>
      </c>
      <c r="U37" s="6">
        <v>17</v>
      </c>
      <c r="V37" s="6">
        <v>66.08</v>
      </c>
      <c r="W37" s="6">
        <v>24.308705747523518</v>
      </c>
      <c r="X37" s="6" t="s">
        <v>319</v>
      </c>
      <c r="Y37" s="6">
        <v>3</v>
      </c>
      <c r="Z37" s="6">
        <f t="shared" si="5"/>
        <v>7</v>
      </c>
      <c r="AA37" s="6">
        <v>1</v>
      </c>
      <c r="AB37" s="6">
        <v>6</v>
      </c>
      <c r="AC37" s="6">
        <v>24.86</v>
      </c>
      <c r="AD37" s="6">
        <v>11.899669099704663</v>
      </c>
      <c r="AL37" s="6">
        <f t="shared" si="1"/>
        <v>3</v>
      </c>
      <c r="AM37" s="6">
        <f t="shared" si="2"/>
        <v>26</v>
      </c>
      <c r="AN37" s="6">
        <v>0.9750784495597079</v>
      </c>
      <c r="AO37" s="6">
        <v>0.47732326914178352</v>
      </c>
      <c r="AQ37" s="6">
        <f t="shared" si="3"/>
        <v>0.72620085935074574</v>
      </c>
      <c r="AR37" s="6">
        <v>60.333333333333336</v>
      </c>
      <c r="AS37" s="6">
        <v>0.7142857142857143</v>
      </c>
      <c r="AT37" s="2">
        <v>0.11769584504127566</v>
      </c>
      <c r="AU37" s="2">
        <v>329.27896086069313</v>
      </c>
      <c r="AV37" s="2">
        <f t="shared" si="4"/>
        <v>0.54756743737957614</v>
      </c>
    </row>
    <row r="38" spans="1:48" ht="15.6" x14ac:dyDescent="0.25">
      <c r="A38" s="5" t="s">
        <v>36</v>
      </c>
      <c r="B38" s="5" t="s">
        <v>168</v>
      </c>
      <c r="C38" s="6" t="s">
        <v>307</v>
      </c>
      <c r="D38" s="6" t="s">
        <v>174</v>
      </c>
      <c r="E38" s="5" t="s">
        <v>313</v>
      </c>
      <c r="F38" s="6" t="s">
        <v>191</v>
      </c>
      <c r="G38" s="6" t="s">
        <v>190</v>
      </c>
      <c r="H38" s="6">
        <v>58.3</v>
      </c>
      <c r="I38" s="6">
        <v>38.24</v>
      </c>
      <c r="J38" s="6">
        <v>23.76</v>
      </c>
      <c r="K38" s="6">
        <v>45.3</v>
      </c>
      <c r="L38" s="6">
        <v>138.33000000000001</v>
      </c>
      <c r="M38" s="6" t="s">
        <v>197</v>
      </c>
      <c r="N38" s="6">
        <v>12.1</v>
      </c>
      <c r="O38" s="6">
        <v>31.2</v>
      </c>
      <c r="P38" s="6">
        <v>121</v>
      </c>
      <c r="Q38" s="6" t="s">
        <v>319</v>
      </c>
      <c r="R38" s="6">
        <v>2</v>
      </c>
      <c r="S38" s="6">
        <f t="shared" si="0"/>
        <v>12</v>
      </c>
      <c r="T38" s="6">
        <v>3</v>
      </c>
      <c r="U38" s="6">
        <v>9</v>
      </c>
      <c r="V38" s="6">
        <v>55.62</v>
      </c>
      <c r="W38" s="6">
        <v>13.697591925711032</v>
      </c>
      <c r="X38" s="6" t="s">
        <v>319</v>
      </c>
      <c r="Y38" s="6">
        <v>3</v>
      </c>
      <c r="Z38" s="6">
        <f t="shared" si="5"/>
        <v>12</v>
      </c>
      <c r="AA38" s="6">
        <v>2</v>
      </c>
      <c r="AB38" s="6">
        <v>10</v>
      </c>
      <c r="AC38" s="6">
        <v>35.24</v>
      </c>
      <c r="AD38" s="6">
        <v>11.565121479822277</v>
      </c>
      <c r="AL38" s="6">
        <f t="shared" si="1"/>
        <v>2.5</v>
      </c>
      <c r="AM38" s="6">
        <f t="shared" si="2"/>
        <v>24</v>
      </c>
      <c r="AN38" s="6">
        <v>0.57649797667133973</v>
      </c>
      <c r="AO38" s="6">
        <v>0.48674753702955709</v>
      </c>
      <c r="AQ38" s="6">
        <f t="shared" si="3"/>
        <v>0.53162275685044835</v>
      </c>
      <c r="AR38" s="6">
        <v>73.183333333333337</v>
      </c>
      <c r="AS38" s="6">
        <v>0.6875</v>
      </c>
      <c r="AT38" s="2">
        <v>0.27524670615243524</v>
      </c>
      <c r="AU38" s="2">
        <v>229.53701400267568</v>
      </c>
      <c r="AV38" s="2">
        <f t="shared" si="4"/>
        <v>0.65683510446034843</v>
      </c>
    </row>
    <row r="39" spans="1:48" ht="15.6" x14ac:dyDescent="0.25">
      <c r="A39" s="5" t="s">
        <v>37</v>
      </c>
      <c r="B39" s="5" t="s">
        <v>168</v>
      </c>
      <c r="C39" s="6" t="s">
        <v>307</v>
      </c>
      <c r="D39" s="6" t="s">
        <v>171</v>
      </c>
      <c r="E39" s="5" t="s">
        <v>312</v>
      </c>
      <c r="F39" s="6" t="s">
        <v>192</v>
      </c>
      <c r="G39" s="6" t="s">
        <v>190</v>
      </c>
      <c r="H39" s="6">
        <v>39.47</v>
      </c>
      <c r="I39" s="6">
        <v>29.45</v>
      </c>
      <c r="J39" s="6">
        <v>23.72</v>
      </c>
      <c r="K39" s="6">
        <v>20.6</v>
      </c>
      <c r="L39" s="6">
        <v>93.23</v>
      </c>
      <c r="Q39" s="6" t="s">
        <v>319</v>
      </c>
      <c r="R39" s="6">
        <v>3</v>
      </c>
      <c r="S39" s="6">
        <f t="shared" si="0"/>
        <v>11</v>
      </c>
      <c r="T39" s="6">
        <v>3</v>
      </c>
      <c r="U39" s="6">
        <v>8</v>
      </c>
      <c r="V39" s="6">
        <v>34.6</v>
      </c>
      <c r="W39" s="6">
        <v>10.980873087829764</v>
      </c>
      <c r="AL39" s="6">
        <f t="shared" si="1"/>
        <v>3</v>
      </c>
      <c r="AM39" s="6">
        <f t="shared" si="2"/>
        <v>11</v>
      </c>
      <c r="AN39" s="6">
        <v>0.46293731398945043</v>
      </c>
      <c r="AQ39" s="6">
        <f t="shared" si="3"/>
        <v>0.46293731398945043</v>
      </c>
      <c r="AR39" s="6">
        <v>67.333333333333329</v>
      </c>
      <c r="AS39" s="6">
        <v>0.5</v>
      </c>
      <c r="AT39" s="2">
        <v>7.5400298983183664E-2</v>
      </c>
      <c r="AU39" s="2">
        <v>37.993820883890983</v>
      </c>
      <c r="AV39" s="2">
        <f t="shared" si="4"/>
        <v>0.37112517430011799</v>
      </c>
    </row>
    <row r="40" spans="1:48" ht="15.6" x14ac:dyDescent="0.25">
      <c r="A40" s="5" t="s">
        <v>38</v>
      </c>
      <c r="B40" s="5" t="s">
        <v>168</v>
      </c>
      <c r="C40" s="6" t="s">
        <v>307</v>
      </c>
      <c r="D40" s="6" t="s">
        <v>172</v>
      </c>
      <c r="E40" s="5" t="s">
        <v>312</v>
      </c>
      <c r="F40" s="6">
        <v>0</v>
      </c>
      <c r="G40" s="6" t="s">
        <v>315</v>
      </c>
      <c r="H40" s="6">
        <v>64.2</v>
      </c>
      <c r="I40" s="6">
        <v>44.25</v>
      </c>
      <c r="J40" s="6">
        <v>24.54</v>
      </c>
      <c r="K40" s="6">
        <v>64</v>
      </c>
      <c r="L40" s="6">
        <v>157.76000000000002</v>
      </c>
      <c r="Q40" s="6" t="s">
        <v>319</v>
      </c>
      <c r="R40" s="6">
        <v>2</v>
      </c>
      <c r="S40" s="6">
        <f t="shared" si="0"/>
        <v>11</v>
      </c>
      <c r="T40" s="6">
        <v>4</v>
      </c>
      <c r="U40" s="6">
        <v>7</v>
      </c>
      <c r="V40" s="6">
        <v>79.169999999999987</v>
      </c>
      <c r="W40" s="6">
        <v>24.262863468692153</v>
      </c>
      <c r="AL40" s="6">
        <f t="shared" si="1"/>
        <v>2</v>
      </c>
      <c r="AM40" s="6">
        <f t="shared" si="2"/>
        <v>11</v>
      </c>
      <c r="AN40" s="6">
        <v>0.9887067428154912</v>
      </c>
      <c r="AQ40" s="6">
        <f t="shared" si="3"/>
        <v>0.9887067428154912</v>
      </c>
      <c r="AR40" s="6">
        <v>70</v>
      </c>
      <c r="AS40" s="6">
        <v>0.6</v>
      </c>
      <c r="AT40" s="2"/>
      <c r="AU40" s="2">
        <v>192.08909008163576</v>
      </c>
      <c r="AV40" s="2">
        <f t="shared" si="4"/>
        <v>0.50183823529411753</v>
      </c>
    </row>
    <row r="41" spans="1:48" ht="15.6" x14ac:dyDescent="0.25">
      <c r="A41" s="5" t="s">
        <v>39</v>
      </c>
      <c r="B41" s="5" t="s">
        <v>168</v>
      </c>
      <c r="C41" s="6" t="s">
        <v>307</v>
      </c>
      <c r="D41" s="6" t="s">
        <v>170</v>
      </c>
      <c r="E41" s="5" t="s">
        <v>312</v>
      </c>
      <c r="F41" s="6" t="s">
        <v>189</v>
      </c>
      <c r="G41" s="6" t="s">
        <v>190</v>
      </c>
      <c r="H41" s="6">
        <v>61.08</v>
      </c>
      <c r="I41" s="6">
        <v>35.549999999999997</v>
      </c>
      <c r="J41" s="6">
        <v>19.940000000000001</v>
      </c>
      <c r="K41" s="6">
        <v>47.4</v>
      </c>
      <c r="L41" s="6">
        <v>150.04000000000002</v>
      </c>
      <c r="Q41" s="6" t="s">
        <v>319</v>
      </c>
      <c r="R41" s="6">
        <v>3</v>
      </c>
      <c r="S41" s="6">
        <f t="shared" si="0"/>
        <v>25</v>
      </c>
      <c r="T41" s="6">
        <v>6</v>
      </c>
      <c r="U41" s="6">
        <v>19</v>
      </c>
      <c r="V41" s="6">
        <v>73.37</v>
      </c>
      <c r="W41" s="6">
        <v>16.584395816012016</v>
      </c>
      <c r="AL41" s="6">
        <f t="shared" si="1"/>
        <v>3</v>
      </c>
      <c r="AM41" s="6">
        <f t="shared" si="2"/>
        <v>25</v>
      </c>
      <c r="AN41" s="6">
        <v>0.83171493560742304</v>
      </c>
      <c r="AQ41" s="6">
        <f t="shared" si="3"/>
        <v>0.83171493560742304</v>
      </c>
      <c r="AR41" s="6">
        <v>71</v>
      </c>
      <c r="AS41" s="6">
        <v>0.7</v>
      </c>
      <c r="AT41" s="2">
        <v>0.16701403106690083</v>
      </c>
      <c r="AU41" s="2">
        <v>121.67971210208017</v>
      </c>
      <c r="AV41" s="2">
        <f t="shared" si="4"/>
        <v>0.4890029325513196</v>
      </c>
    </row>
    <row r="42" spans="1:48" ht="15.6" x14ac:dyDescent="0.25">
      <c r="A42" s="5" t="s">
        <v>40</v>
      </c>
      <c r="B42" s="5" t="s">
        <v>168</v>
      </c>
      <c r="C42" s="6" t="s">
        <v>307</v>
      </c>
      <c r="D42" s="6" t="s">
        <v>172</v>
      </c>
      <c r="E42" s="5" t="s">
        <v>312</v>
      </c>
      <c r="F42" s="6" t="s">
        <v>191</v>
      </c>
      <c r="G42" s="6" t="s">
        <v>190</v>
      </c>
      <c r="H42" s="6">
        <v>41.72</v>
      </c>
      <c r="I42" s="6">
        <v>24.1</v>
      </c>
      <c r="J42" s="6">
        <v>20.79</v>
      </c>
      <c r="K42" s="6">
        <v>26.1</v>
      </c>
      <c r="L42" s="6">
        <v>100.45</v>
      </c>
      <c r="Q42" s="6" t="s">
        <v>319</v>
      </c>
      <c r="R42" s="6">
        <v>4</v>
      </c>
      <c r="S42" s="6">
        <f t="shared" si="0"/>
        <v>19</v>
      </c>
      <c r="T42" s="6">
        <v>4</v>
      </c>
      <c r="U42" s="6">
        <v>15</v>
      </c>
      <c r="V42" s="6">
        <v>62.32</v>
      </c>
      <c r="W42" s="6">
        <v>15.58841603460546</v>
      </c>
      <c r="AL42" s="6">
        <f t="shared" si="1"/>
        <v>4</v>
      </c>
      <c r="AM42" s="6">
        <f t="shared" si="2"/>
        <v>19</v>
      </c>
      <c r="AN42" s="6">
        <v>0.74980356106808377</v>
      </c>
      <c r="AQ42" s="6">
        <f t="shared" si="3"/>
        <v>0.74980356106808377</v>
      </c>
      <c r="AR42" s="6">
        <v>72.666666666666671</v>
      </c>
      <c r="AS42" s="6">
        <v>0.9</v>
      </c>
      <c r="AT42" s="2">
        <v>0.40097341797015351</v>
      </c>
      <c r="AU42" s="2">
        <v>97.14700872766123</v>
      </c>
      <c r="AV42" s="2">
        <f t="shared" si="4"/>
        <v>0.62040816326530612</v>
      </c>
    </row>
    <row r="43" spans="1:48" ht="15.6" x14ac:dyDescent="0.25">
      <c r="A43" s="5" t="s">
        <v>41</v>
      </c>
      <c r="B43" s="5" t="s">
        <v>168</v>
      </c>
      <c r="C43" s="6" t="s">
        <v>307</v>
      </c>
      <c r="D43" s="6" t="s">
        <v>170</v>
      </c>
      <c r="E43" s="5" t="s">
        <v>312</v>
      </c>
      <c r="F43" s="6" t="s">
        <v>193</v>
      </c>
      <c r="G43" s="6" t="s">
        <v>318</v>
      </c>
      <c r="H43" s="6">
        <v>62.1</v>
      </c>
      <c r="I43" s="6">
        <v>48.5</v>
      </c>
      <c r="J43" s="6">
        <v>23.2</v>
      </c>
      <c r="K43" s="6">
        <v>74.900000000000006</v>
      </c>
      <c r="L43" s="6">
        <v>169.09000000000003</v>
      </c>
      <c r="M43" s="6" t="s">
        <v>196</v>
      </c>
      <c r="N43" s="6">
        <v>11.59</v>
      </c>
      <c r="O43" s="6">
        <v>20.49</v>
      </c>
      <c r="P43" s="6">
        <v>120</v>
      </c>
      <c r="Q43" s="6" t="s">
        <v>319</v>
      </c>
      <c r="R43" s="6">
        <v>4</v>
      </c>
      <c r="S43" s="6">
        <f t="shared" si="0"/>
        <v>19</v>
      </c>
      <c r="T43" s="6">
        <v>4</v>
      </c>
      <c r="U43" s="6">
        <v>15</v>
      </c>
      <c r="V43" s="6">
        <v>34.89</v>
      </c>
      <c r="W43" s="6">
        <v>20.867146283813973</v>
      </c>
      <c r="AL43" s="6">
        <f t="shared" si="1"/>
        <v>4</v>
      </c>
      <c r="AM43" s="6">
        <f t="shared" si="2"/>
        <v>19</v>
      </c>
      <c r="AN43" s="6">
        <v>1</v>
      </c>
      <c r="AQ43" s="6">
        <f t="shared" si="3"/>
        <v>1</v>
      </c>
      <c r="AR43" s="6">
        <v>75.333333333333329</v>
      </c>
      <c r="AS43" s="6">
        <v>0.5</v>
      </c>
      <c r="AT43" s="2"/>
      <c r="AU43" s="2">
        <v>72.805473384226957</v>
      </c>
      <c r="AV43" s="2">
        <f t="shared" si="4"/>
        <v>0.20633981903128507</v>
      </c>
    </row>
    <row r="44" spans="1:48" ht="15.6" x14ac:dyDescent="0.25">
      <c r="A44" s="5" t="s">
        <v>42</v>
      </c>
      <c r="B44" s="5" t="s">
        <v>168</v>
      </c>
      <c r="C44" s="6" t="s">
        <v>307</v>
      </c>
      <c r="D44" s="6" t="s">
        <v>179</v>
      </c>
      <c r="E44" s="5" t="s">
        <v>313</v>
      </c>
      <c r="F44" s="6" t="s">
        <v>191</v>
      </c>
      <c r="G44" s="6" t="s">
        <v>190</v>
      </c>
      <c r="H44" s="6">
        <v>77.650000000000006</v>
      </c>
      <c r="I44" s="6">
        <v>49.85</v>
      </c>
      <c r="J44" s="6">
        <v>32.86</v>
      </c>
      <c r="K44" s="6">
        <v>128.30000000000001</v>
      </c>
      <c r="L44" s="6">
        <v>212.27</v>
      </c>
      <c r="Q44" s="6" t="s">
        <v>319</v>
      </c>
      <c r="R44" s="6">
        <v>2</v>
      </c>
      <c r="S44" s="6">
        <f t="shared" si="0"/>
        <v>10</v>
      </c>
      <c r="T44" s="6">
        <v>1</v>
      </c>
      <c r="U44" s="6">
        <v>9</v>
      </c>
      <c r="V44" s="6">
        <v>74.34</v>
      </c>
      <c r="W44" s="6">
        <v>23.151652374804655</v>
      </c>
      <c r="X44" s="6" t="s">
        <v>319</v>
      </c>
      <c r="Y44" s="6">
        <v>2</v>
      </c>
      <c r="Z44" s="6">
        <f t="shared" si="5"/>
        <v>10</v>
      </c>
      <c r="AA44" s="6">
        <v>2</v>
      </c>
      <c r="AB44" s="6">
        <v>8</v>
      </c>
      <c r="AC44" s="6">
        <v>77.319999999999993</v>
      </c>
      <c r="AD44" s="6">
        <v>21.054484166571129</v>
      </c>
      <c r="AL44" s="6">
        <f t="shared" si="1"/>
        <v>2</v>
      </c>
      <c r="AM44" s="6">
        <f t="shared" si="2"/>
        <v>20</v>
      </c>
      <c r="AN44" s="6">
        <v>0.70455424147305712</v>
      </c>
      <c r="AO44" s="6">
        <v>0.6407329326406308</v>
      </c>
      <c r="AQ44" s="6">
        <f t="shared" si="3"/>
        <v>0.67264358705684391</v>
      </c>
      <c r="AR44" s="6">
        <v>60.333333333333329</v>
      </c>
      <c r="AS44" s="6">
        <v>0.625</v>
      </c>
      <c r="AT44" s="2">
        <v>0.3683190583788683</v>
      </c>
      <c r="AU44" s="2">
        <v>670.43026678650517</v>
      </c>
      <c r="AV44" s="2">
        <f t="shared" si="4"/>
        <v>0.71446742356432835</v>
      </c>
    </row>
    <row r="45" spans="1:48" ht="15.6" x14ac:dyDescent="0.25">
      <c r="A45" s="5" t="s">
        <v>43</v>
      </c>
      <c r="B45" s="5" t="s">
        <v>168</v>
      </c>
      <c r="C45" s="6" t="s">
        <v>307</v>
      </c>
      <c r="D45" s="6" t="s">
        <v>170</v>
      </c>
      <c r="E45" s="5" t="s">
        <v>312</v>
      </c>
      <c r="F45" s="6">
        <v>0</v>
      </c>
      <c r="G45" s="6" t="s">
        <v>315</v>
      </c>
      <c r="H45" s="6">
        <v>71.25</v>
      </c>
      <c r="I45" s="6">
        <v>52.3</v>
      </c>
      <c r="J45" s="6">
        <v>35.799999999999997</v>
      </c>
      <c r="K45" s="6">
        <v>114.1</v>
      </c>
      <c r="L45" s="6">
        <v>186.97</v>
      </c>
      <c r="M45" s="6" t="s">
        <v>196</v>
      </c>
      <c r="N45" s="6">
        <v>13.38</v>
      </c>
      <c r="O45" s="6">
        <v>23.69</v>
      </c>
      <c r="P45" s="6">
        <v>125.9</v>
      </c>
      <c r="Q45" s="6" t="s">
        <v>319</v>
      </c>
      <c r="R45" s="6">
        <v>3</v>
      </c>
      <c r="S45" s="6">
        <f t="shared" si="0"/>
        <v>30</v>
      </c>
      <c r="T45" s="6">
        <v>7</v>
      </c>
      <c r="U45" s="6">
        <v>23</v>
      </c>
      <c r="V45" s="6">
        <v>96.88</v>
      </c>
      <c r="W45" s="6">
        <v>25.21188461329978</v>
      </c>
      <c r="AL45" s="6">
        <f t="shared" si="1"/>
        <v>3</v>
      </c>
      <c r="AM45" s="6">
        <f t="shared" si="2"/>
        <v>30</v>
      </c>
      <c r="AN45" s="6">
        <v>0.70424258696368103</v>
      </c>
      <c r="AQ45" s="6">
        <f t="shared" si="3"/>
        <v>0.70424258696368103</v>
      </c>
      <c r="AR45" s="6">
        <v>71.666666666666671</v>
      </c>
      <c r="AS45" s="6">
        <v>0.7</v>
      </c>
      <c r="AT45" s="2">
        <v>0.19401700850734285</v>
      </c>
      <c r="AU45" s="2">
        <v>244.25273813364825</v>
      </c>
      <c r="AV45" s="2">
        <f t="shared" si="4"/>
        <v>0.51815799326095091</v>
      </c>
    </row>
    <row r="46" spans="1:48" ht="15.6" x14ac:dyDescent="0.25">
      <c r="A46" s="5" t="s">
        <v>44</v>
      </c>
      <c r="B46" s="5" t="s">
        <v>168</v>
      </c>
      <c r="C46" s="6" t="s">
        <v>307</v>
      </c>
      <c r="D46" s="6" t="s">
        <v>172</v>
      </c>
      <c r="E46" s="5" t="s">
        <v>312</v>
      </c>
      <c r="F46" s="6" t="s">
        <v>193</v>
      </c>
      <c r="G46" s="6" t="s">
        <v>318</v>
      </c>
      <c r="H46" s="6">
        <v>75.61</v>
      </c>
      <c r="I46" s="6">
        <v>69.12</v>
      </c>
      <c r="J46" s="6">
        <v>34.5</v>
      </c>
      <c r="K46" s="6">
        <v>225.6</v>
      </c>
      <c r="L46" s="6">
        <v>200.41</v>
      </c>
      <c r="Q46" s="6" t="s">
        <v>319</v>
      </c>
      <c r="R46" s="6">
        <v>4</v>
      </c>
      <c r="S46" s="6">
        <f t="shared" si="0"/>
        <v>28</v>
      </c>
      <c r="T46" s="6">
        <v>4</v>
      </c>
      <c r="U46" s="6">
        <v>24</v>
      </c>
      <c r="V46" s="6">
        <v>110.69</v>
      </c>
      <c r="W46" s="6">
        <v>33.913459000265327</v>
      </c>
      <c r="AL46" s="6">
        <f t="shared" si="1"/>
        <v>4</v>
      </c>
      <c r="AM46" s="6">
        <f t="shared" si="2"/>
        <v>28</v>
      </c>
      <c r="AN46" s="6">
        <v>0.98299881160189351</v>
      </c>
      <c r="AQ46" s="6">
        <f t="shared" si="3"/>
        <v>0.98299881160189351</v>
      </c>
      <c r="AR46" s="6">
        <v>87</v>
      </c>
      <c r="AS46" s="6">
        <v>0.7</v>
      </c>
      <c r="AT46" s="2"/>
      <c r="AU46" s="2">
        <v>375.38807767393689</v>
      </c>
      <c r="AV46" s="2">
        <f t="shared" si="4"/>
        <v>0.55231774861533856</v>
      </c>
    </row>
    <row r="47" spans="1:48" ht="15.6" x14ac:dyDescent="0.25">
      <c r="A47" s="5" t="s">
        <v>267</v>
      </c>
      <c r="B47" s="5" t="s">
        <v>168</v>
      </c>
      <c r="C47" s="6" t="s">
        <v>307</v>
      </c>
      <c r="D47" s="6" t="s">
        <v>172</v>
      </c>
      <c r="E47" s="5" t="s">
        <v>312</v>
      </c>
      <c r="F47" s="6">
        <v>0</v>
      </c>
      <c r="G47" s="6" t="s">
        <v>315</v>
      </c>
      <c r="H47" s="6">
        <v>36.14</v>
      </c>
      <c r="I47" s="6">
        <v>28.94</v>
      </c>
      <c r="J47" s="6">
        <v>18.3</v>
      </c>
      <c r="K47" s="6">
        <v>15.2</v>
      </c>
      <c r="L47" s="6">
        <v>86.210000000000008</v>
      </c>
      <c r="Q47" s="6" t="s">
        <v>319</v>
      </c>
      <c r="R47" s="6">
        <v>4</v>
      </c>
      <c r="S47" s="6">
        <f t="shared" si="0"/>
        <v>22</v>
      </c>
      <c r="T47" s="6">
        <v>6</v>
      </c>
      <c r="U47" s="6">
        <v>16</v>
      </c>
      <c r="V47" s="6">
        <v>32.54</v>
      </c>
      <c r="W47" s="6">
        <v>16.5449691415388</v>
      </c>
      <c r="AL47" s="6">
        <f t="shared" si="1"/>
        <v>4</v>
      </c>
      <c r="AM47" s="6">
        <f t="shared" si="2"/>
        <v>22</v>
      </c>
      <c r="AN47" s="6">
        <v>0.90409667440102726</v>
      </c>
      <c r="AQ47" s="6">
        <f t="shared" si="3"/>
        <v>0.90409667440102726</v>
      </c>
      <c r="AR47" s="6">
        <v>85.333333333333329</v>
      </c>
      <c r="AS47" s="6">
        <v>1</v>
      </c>
      <c r="AT47" s="2">
        <v>0.72174893486992941</v>
      </c>
      <c r="AU47" s="2">
        <v>53.83732958656725</v>
      </c>
      <c r="AV47" s="2">
        <f t="shared" si="4"/>
        <v>0.37745041178517569</v>
      </c>
    </row>
    <row r="48" spans="1:48" ht="15.6" x14ac:dyDescent="0.25">
      <c r="A48" s="5" t="s">
        <v>45</v>
      </c>
      <c r="B48" s="5" t="s">
        <v>168</v>
      </c>
      <c r="C48" s="6" t="s">
        <v>307</v>
      </c>
      <c r="D48" s="6" t="s">
        <v>171</v>
      </c>
      <c r="E48" s="5" t="s">
        <v>312</v>
      </c>
      <c r="F48" s="6" t="s">
        <v>192</v>
      </c>
      <c r="G48" s="6" t="s">
        <v>190</v>
      </c>
      <c r="H48" s="6">
        <v>78.25</v>
      </c>
      <c r="I48" s="6">
        <v>57.8</v>
      </c>
      <c r="J48" s="6">
        <v>31</v>
      </c>
      <c r="K48" s="6">
        <v>136.80000000000001</v>
      </c>
      <c r="L48" s="6">
        <v>199.03</v>
      </c>
      <c r="Q48" s="6" t="s">
        <v>319</v>
      </c>
      <c r="R48" s="6">
        <v>3</v>
      </c>
      <c r="S48" s="6">
        <f t="shared" si="0"/>
        <v>12</v>
      </c>
      <c r="T48" s="6">
        <v>3</v>
      </c>
      <c r="U48" s="6">
        <v>9</v>
      </c>
      <c r="V48" s="6">
        <v>43.57</v>
      </c>
      <c r="W48" s="6">
        <v>30.506171888961408</v>
      </c>
      <c r="AL48" s="6">
        <f t="shared" si="1"/>
        <v>3</v>
      </c>
      <c r="AM48" s="6">
        <f t="shared" si="2"/>
        <v>12</v>
      </c>
      <c r="AN48" s="6">
        <v>0.98407006093423899</v>
      </c>
      <c r="AQ48" s="6">
        <f t="shared" si="3"/>
        <v>0.98407006093423899</v>
      </c>
      <c r="AR48" s="6">
        <v>71.333333333333329</v>
      </c>
      <c r="AS48" s="6">
        <v>0.7</v>
      </c>
      <c r="AT48" s="2"/>
      <c r="AU48" s="2">
        <v>132.91539092020486</v>
      </c>
      <c r="AV48" s="2">
        <f t="shared" si="4"/>
        <v>0.21891172185097724</v>
      </c>
    </row>
    <row r="49" spans="1:48" ht="15.6" x14ac:dyDescent="0.25">
      <c r="A49" s="5" t="s">
        <v>46</v>
      </c>
      <c r="B49" s="5" t="s">
        <v>168</v>
      </c>
      <c r="C49" s="6" t="s">
        <v>307</v>
      </c>
      <c r="D49" s="6" t="s">
        <v>172</v>
      </c>
      <c r="E49" s="5" t="s">
        <v>312</v>
      </c>
      <c r="F49" s="6">
        <v>0</v>
      </c>
      <c r="G49" s="6" t="s">
        <v>315</v>
      </c>
      <c r="H49" s="6">
        <v>61.43</v>
      </c>
      <c r="I49" s="6">
        <v>58.87</v>
      </c>
      <c r="J49" s="6">
        <v>15.4</v>
      </c>
      <c r="K49" s="6">
        <v>71.2</v>
      </c>
      <c r="L49" s="6">
        <v>163.62</v>
      </c>
      <c r="M49" s="6" t="s">
        <v>196</v>
      </c>
      <c r="N49" s="6">
        <v>18.07</v>
      </c>
      <c r="O49" s="6">
        <v>37.22</v>
      </c>
      <c r="P49" s="6">
        <v>89.7</v>
      </c>
      <c r="Q49" s="6" t="s">
        <v>319</v>
      </c>
      <c r="R49" s="6">
        <v>3</v>
      </c>
      <c r="S49" s="6">
        <f t="shared" si="0"/>
        <v>23</v>
      </c>
      <c r="T49" s="6">
        <v>6</v>
      </c>
      <c r="U49" s="6">
        <v>17</v>
      </c>
      <c r="V49" s="6">
        <v>41.95</v>
      </c>
      <c r="W49" s="6">
        <v>12.908637111510565</v>
      </c>
      <c r="AL49" s="6">
        <f t="shared" si="1"/>
        <v>3</v>
      </c>
      <c r="AM49" s="6">
        <f t="shared" si="2"/>
        <v>23</v>
      </c>
      <c r="AN49" s="6">
        <v>0.83822318905912763</v>
      </c>
      <c r="AQ49" s="6">
        <f t="shared" si="3"/>
        <v>0.83822318905912763</v>
      </c>
      <c r="AR49" s="6">
        <v>68.333333333333329</v>
      </c>
      <c r="AS49" s="6">
        <v>0.5</v>
      </c>
      <c r="AT49" s="2">
        <v>0.17030728750878704</v>
      </c>
      <c r="AU49" s="2">
        <v>54.151732682786829</v>
      </c>
      <c r="AV49" s="2">
        <f t="shared" si="4"/>
        <v>0.25638674978608972</v>
      </c>
    </row>
    <row r="50" spans="1:48" ht="15.6" x14ac:dyDescent="0.25">
      <c r="A50" s="5" t="s">
        <v>47</v>
      </c>
      <c r="B50" s="5" t="s">
        <v>168</v>
      </c>
      <c r="C50" s="6" t="s">
        <v>307</v>
      </c>
      <c r="D50" s="6" t="s">
        <v>180</v>
      </c>
      <c r="E50" s="5" t="s">
        <v>313</v>
      </c>
      <c r="F50" s="6">
        <v>0</v>
      </c>
      <c r="G50" s="6" t="s">
        <v>315</v>
      </c>
      <c r="H50" s="6">
        <v>86.7</v>
      </c>
      <c r="I50" s="6">
        <v>57.17</v>
      </c>
      <c r="J50" s="6">
        <v>27.23</v>
      </c>
      <c r="K50" s="6">
        <v>135.5</v>
      </c>
      <c r="L50" s="6">
        <v>229.22999999999996</v>
      </c>
      <c r="M50" s="6" t="s">
        <v>196</v>
      </c>
      <c r="N50" s="6">
        <v>19.89</v>
      </c>
      <c r="O50" s="6">
        <v>54.35</v>
      </c>
      <c r="P50" s="6">
        <v>114.9</v>
      </c>
      <c r="Q50" s="6" t="s">
        <v>319</v>
      </c>
      <c r="R50" s="6">
        <v>3</v>
      </c>
      <c r="S50" s="6">
        <f t="shared" si="0"/>
        <v>22</v>
      </c>
      <c r="T50" s="6">
        <v>1</v>
      </c>
      <c r="U50" s="6">
        <v>21</v>
      </c>
      <c r="V50" s="6">
        <v>74.41</v>
      </c>
      <c r="W50" s="6">
        <v>21.95923418745085</v>
      </c>
      <c r="X50" s="6" t="s">
        <v>319</v>
      </c>
      <c r="Y50" s="6">
        <v>3</v>
      </c>
      <c r="Z50" s="6">
        <f t="shared" si="5"/>
        <v>22</v>
      </c>
      <c r="AA50" s="6">
        <v>3</v>
      </c>
      <c r="AB50" s="6">
        <v>19</v>
      </c>
      <c r="AC50" s="6">
        <v>82.22</v>
      </c>
      <c r="AD50" s="6">
        <v>27.437286406270015</v>
      </c>
      <c r="AL50" s="6">
        <f t="shared" si="1"/>
        <v>3</v>
      </c>
      <c r="AM50" s="6">
        <f t="shared" si="2"/>
        <v>44</v>
      </c>
      <c r="AN50" s="6">
        <v>0.80643533556558389</v>
      </c>
      <c r="AO50" s="6">
        <v>1</v>
      </c>
      <c r="AQ50" s="6">
        <f t="shared" si="3"/>
        <v>0.90321766778279189</v>
      </c>
      <c r="AR50" s="6">
        <v>71.166666666666671</v>
      </c>
      <c r="AS50" s="6">
        <v>0.75</v>
      </c>
      <c r="AT50" s="2"/>
      <c r="AU50" s="2">
        <v>773.69770205944985</v>
      </c>
      <c r="AV50" s="2">
        <f t="shared" si="4"/>
        <v>0.68328752781049606</v>
      </c>
    </row>
    <row r="51" spans="1:48" ht="15.6" x14ac:dyDescent="0.25">
      <c r="A51" s="5" t="s">
        <v>48</v>
      </c>
      <c r="B51" s="5" t="s">
        <v>168</v>
      </c>
      <c r="C51" s="6" t="s">
        <v>307</v>
      </c>
      <c r="D51" s="6" t="s">
        <v>181</v>
      </c>
      <c r="E51" s="5" t="s">
        <v>313</v>
      </c>
      <c r="F51" s="6" t="s">
        <v>191</v>
      </c>
      <c r="G51" s="6" t="s">
        <v>316</v>
      </c>
      <c r="H51" s="6">
        <v>59.82</v>
      </c>
      <c r="I51" s="6">
        <v>42.8</v>
      </c>
      <c r="J51" s="6">
        <v>22.32</v>
      </c>
      <c r="K51" s="6">
        <v>52.5</v>
      </c>
      <c r="L51" s="6">
        <v>156.19</v>
      </c>
      <c r="Q51" s="6" t="s">
        <v>319</v>
      </c>
      <c r="R51" s="6">
        <v>2</v>
      </c>
      <c r="S51" s="6">
        <f t="shared" si="0"/>
        <v>12</v>
      </c>
      <c r="T51" s="6">
        <v>3</v>
      </c>
      <c r="U51" s="6">
        <v>9</v>
      </c>
      <c r="V51" s="6">
        <v>63.769999999999996</v>
      </c>
      <c r="W51" s="6">
        <v>10.199022400234661</v>
      </c>
      <c r="X51" s="6" t="s">
        <v>319</v>
      </c>
      <c r="Y51" s="6">
        <v>3</v>
      </c>
      <c r="Z51" s="6">
        <f t="shared" si="5"/>
        <v>19</v>
      </c>
      <c r="AA51" s="6">
        <v>4</v>
      </c>
      <c r="AB51" s="6">
        <v>15</v>
      </c>
      <c r="AC51" s="6">
        <v>68.900000000000006</v>
      </c>
      <c r="AD51" s="6">
        <v>21.886152387730434</v>
      </c>
      <c r="AL51" s="6">
        <f t="shared" si="1"/>
        <v>2.5</v>
      </c>
      <c r="AM51" s="6">
        <f t="shared" si="2"/>
        <v>31</v>
      </c>
      <c r="AN51" s="6">
        <v>0.4569454480391873</v>
      </c>
      <c r="AO51" s="6">
        <v>0.98056238296283305</v>
      </c>
      <c r="AQ51" s="6">
        <f t="shared" si="3"/>
        <v>0.7187539155010102</v>
      </c>
      <c r="AR51" s="6">
        <v>66.833333333333343</v>
      </c>
      <c r="AS51" s="6">
        <v>0.8125</v>
      </c>
      <c r="AT51" s="2"/>
      <c r="AU51" s="2">
        <v>425.674013911933</v>
      </c>
      <c r="AV51" s="2">
        <f t="shared" si="4"/>
        <v>0.8494141750432167</v>
      </c>
    </row>
    <row r="52" spans="1:48" ht="15.6" x14ac:dyDescent="0.25">
      <c r="A52" s="5" t="s">
        <v>49</v>
      </c>
      <c r="B52" s="5" t="s">
        <v>168</v>
      </c>
      <c r="C52" s="6" t="s">
        <v>307</v>
      </c>
      <c r="D52" s="6" t="s">
        <v>174</v>
      </c>
      <c r="E52" s="5" t="s">
        <v>313</v>
      </c>
      <c r="F52" s="6">
        <v>0</v>
      </c>
      <c r="G52" s="6" t="s">
        <v>315</v>
      </c>
      <c r="H52" s="6">
        <v>69.94</v>
      </c>
      <c r="I52" s="6">
        <v>46.332999999999998</v>
      </c>
      <c r="J52" s="6">
        <v>24.7</v>
      </c>
      <c r="K52" s="6">
        <v>69.2</v>
      </c>
      <c r="L52" s="6">
        <v>181.24000000000004</v>
      </c>
      <c r="Q52" s="6" t="s">
        <v>319</v>
      </c>
      <c r="R52" s="6">
        <v>3</v>
      </c>
      <c r="S52" s="6">
        <f t="shared" si="0"/>
        <v>20</v>
      </c>
      <c r="T52" s="6">
        <v>3</v>
      </c>
      <c r="U52" s="6">
        <v>17</v>
      </c>
      <c r="V52" s="6">
        <v>57.94</v>
      </c>
      <c r="W52" s="6">
        <v>16.316802488063733</v>
      </c>
      <c r="X52" s="6" t="s">
        <v>319</v>
      </c>
      <c r="Y52" s="6">
        <v>2</v>
      </c>
      <c r="Z52" s="6">
        <f t="shared" si="5"/>
        <v>11</v>
      </c>
      <c r="AA52" s="6">
        <v>0</v>
      </c>
      <c r="AB52" s="6">
        <v>11</v>
      </c>
      <c r="AC52" s="6">
        <v>64.09</v>
      </c>
      <c r="AD52" s="6">
        <v>13.151549281849475</v>
      </c>
      <c r="AL52" s="6">
        <f t="shared" si="1"/>
        <v>2.5</v>
      </c>
      <c r="AM52" s="6">
        <f t="shared" si="2"/>
        <v>31</v>
      </c>
      <c r="AN52" s="6">
        <v>0.66059929101472603</v>
      </c>
      <c r="AO52" s="6">
        <v>0.53245138792912849</v>
      </c>
      <c r="AQ52" s="6">
        <f t="shared" si="3"/>
        <v>0.59652533947192721</v>
      </c>
      <c r="AR52" s="6">
        <v>66.683333333333337</v>
      </c>
      <c r="AS52" s="6">
        <v>0.5</v>
      </c>
      <c r="AT52" s="2">
        <v>0.10715633611112971</v>
      </c>
      <c r="AU52" s="2">
        <v>359.60229664825084</v>
      </c>
      <c r="AV52" s="2">
        <f t="shared" si="4"/>
        <v>0.67330611344074143</v>
      </c>
    </row>
    <row r="53" spans="1:48" ht="15.6" x14ac:dyDescent="0.25">
      <c r="A53" s="5" t="s">
        <v>50</v>
      </c>
      <c r="B53" s="5" t="s">
        <v>168</v>
      </c>
      <c r="C53" s="6" t="s">
        <v>307</v>
      </c>
      <c r="D53" s="6" t="s">
        <v>182</v>
      </c>
      <c r="E53" s="5" t="s">
        <v>313</v>
      </c>
      <c r="F53" s="6" t="s">
        <v>193</v>
      </c>
      <c r="G53" s="6" t="s">
        <v>318</v>
      </c>
      <c r="H53" s="6">
        <v>71.28</v>
      </c>
      <c r="I53" s="6">
        <v>68.739999999999995</v>
      </c>
      <c r="J53" s="6">
        <v>27.03</v>
      </c>
      <c r="K53" s="6">
        <v>140.6</v>
      </c>
      <c r="L53" s="6">
        <v>195.87</v>
      </c>
      <c r="M53" s="6" t="s">
        <v>196</v>
      </c>
      <c r="N53" s="6">
        <v>17</v>
      </c>
      <c r="O53" s="6">
        <v>29.66</v>
      </c>
      <c r="P53" s="6">
        <v>126.05</v>
      </c>
      <c r="Q53" s="6" t="s">
        <v>319</v>
      </c>
      <c r="R53" s="6">
        <v>3</v>
      </c>
      <c r="S53" s="6">
        <f t="shared" si="0"/>
        <v>15</v>
      </c>
      <c r="T53" s="6">
        <v>2</v>
      </c>
      <c r="U53" s="6">
        <v>13</v>
      </c>
      <c r="V53" s="6">
        <v>60.24</v>
      </c>
      <c r="W53" s="6">
        <v>11.987854889189681</v>
      </c>
      <c r="X53" s="6" t="s">
        <v>319</v>
      </c>
      <c r="Y53" s="6">
        <v>2</v>
      </c>
      <c r="Z53" s="6">
        <f t="shared" si="5"/>
        <v>12</v>
      </c>
      <c r="AA53" s="6">
        <v>3</v>
      </c>
      <c r="AB53" s="6">
        <v>9</v>
      </c>
      <c r="AC53" s="6">
        <v>53.4</v>
      </c>
      <c r="AD53" s="6">
        <v>15.585329061622406</v>
      </c>
      <c r="AL53" s="6">
        <f t="shared" si="1"/>
        <v>2.5</v>
      </c>
      <c r="AM53" s="6">
        <f t="shared" si="2"/>
        <v>27</v>
      </c>
      <c r="AN53" s="6">
        <v>0.44350184569699147</v>
      </c>
      <c r="AO53" s="6">
        <v>0.57659374996753254</v>
      </c>
      <c r="AQ53" s="6">
        <f t="shared" si="3"/>
        <v>0.51004779783226195</v>
      </c>
      <c r="AR53" s="6">
        <v>63.183333333333337</v>
      </c>
      <c r="AS53" s="6">
        <v>0.625</v>
      </c>
      <c r="AT53" s="2">
        <v>0.12399309591099741</v>
      </c>
      <c r="AU53" s="2">
        <v>313.34166241702854</v>
      </c>
      <c r="AV53" s="2">
        <f t="shared" si="4"/>
        <v>0.58018073211824173</v>
      </c>
    </row>
    <row r="54" spans="1:48" ht="15.6" x14ac:dyDescent="0.25">
      <c r="A54" s="5" t="s">
        <v>51</v>
      </c>
      <c r="B54" s="5" t="s">
        <v>168</v>
      </c>
      <c r="C54" s="6" t="s">
        <v>307</v>
      </c>
      <c r="D54" s="6" t="s">
        <v>172</v>
      </c>
      <c r="E54" s="5" t="s">
        <v>312</v>
      </c>
      <c r="F54" s="6" t="s">
        <v>193</v>
      </c>
      <c r="G54" s="6" t="s">
        <v>318</v>
      </c>
      <c r="H54" s="6">
        <v>56.6</v>
      </c>
      <c r="I54" s="6">
        <v>52.19</v>
      </c>
      <c r="J54" s="6">
        <v>20.100000000000001</v>
      </c>
      <c r="K54" s="6">
        <v>58.4</v>
      </c>
      <c r="L54" s="6">
        <v>169.29</v>
      </c>
      <c r="M54" s="6" t="s">
        <v>196</v>
      </c>
      <c r="N54" s="6">
        <v>20.76</v>
      </c>
      <c r="O54" s="6">
        <v>48.86</v>
      </c>
      <c r="P54" s="6">
        <v>121.3</v>
      </c>
      <c r="Q54" s="6" t="s">
        <v>319</v>
      </c>
      <c r="R54" s="6">
        <v>2</v>
      </c>
      <c r="S54" s="6">
        <f t="shared" si="0"/>
        <v>11</v>
      </c>
      <c r="T54" s="6">
        <v>5</v>
      </c>
      <c r="U54" s="6">
        <v>6</v>
      </c>
      <c r="V54" s="6">
        <v>40.58</v>
      </c>
      <c r="W54" s="6">
        <v>9.1774333889208304</v>
      </c>
      <c r="X54" s="6" t="s">
        <v>320</v>
      </c>
      <c r="Y54" s="6">
        <v>3</v>
      </c>
      <c r="Z54" s="6">
        <f t="shared" si="5"/>
        <v>9</v>
      </c>
      <c r="AA54" s="6">
        <v>3</v>
      </c>
      <c r="AB54" s="6">
        <v>6</v>
      </c>
      <c r="AC54" s="6">
        <v>29.32</v>
      </c>
      <c r="AD54" s="6">
        <v>11.005836219976047</v>
      </c>
      <c r="AL54" s="6">
        <f t="shared" si="1"/>
        <v>2.5</v>
      </c>
      <c r="AM54" s="6">
        <f t="shared" si="2"/>
        <v>20</v>
      </c>
      <c r="AN54" s="6">
        <v>0.4565887258169567</v>
      </c>
      <c r="AO54" s="6">
        <v>0.54755404079482817</v>
      </c>
      <c r="AQ54" s="6">
        <f t="shared" si="3"/>
        <v>0.5020713833058924</v>
      </c>
      <c r="AR54" s="6">
        <v>69</v>
      </c>
      <c r="AS54" s="6">
        <v>0.6</v>
      </c>
      <c r="AT54" s="2">
        <v>0.11555043663713592</v>
      </c>
      <c r="AU54" s="2">
        <v>141.08105456618918</v>
      </c>
      <c r="AV54" s="2">
        <f t="shared" si="4"/>
        <v>0.41290093921672877</v>
      </c>
    </row>
    <row r="55" spans="1:48" ht="15.6" x14ac:dyDescent="0.25">
      <c r="A55" s="5" t="s">
        <v>52</v>
      </c>
      <c r="B55" s="5" t="s">
        <v>168</v>
      </c>
      <c r="C55" s="6" t="s">
        <v>307</v>
      </c>
      <c r="D55" s="6" t="s">
        <v>171</v>
      </c>
      <c r="E55" s="5" t="s">
        <v>312</v>
      </c>
      <c r="F55" s="6" t="s">
        <v>193</v>
      </c>
      <c r="G55" s="6" t="s">
        <v>318</v>
      </c>
      <c r="H55" s="6">
        <v>72.53</v>
      </c>
      <c r="I55" s="6">
        <v>61.59</v>
      </c>
      <c r="J55" s="6">
        <v>19.75</v>
      </c>
      <c r="K55" s="6">
        <v>112.8</v>
      </c>
      <c r="L55" s="6">
        <v>181.98000000000002</v>
      </c>
      <c r="M55" s="6" t="s">
        <v>196</v>
      </c>
      <c r="N55" s="6">
        <v>8.86</v>
      </c>
      <c r="O55" s="6">
        <v>14.82</v>
      </c>
      <c r="P55" s="6">
        <v>130.15</v>
      </c>
      <c r="Q55" s="6" t="s">
        <v>319</v>
      </c>
      <c r="R55" s="6">
        <v>2</v>
      </c>
      <c r="S55" s="6">
        <f t="shared" si="0"/>
        <v>7</v>
      </c>
      <c r="T55" s="6">
        <v>3</v>
      </c>
      <c r="U55" s="6">
        <v>4</v>
      </c>
      <c r="V55" s="6">
        <v>44.24</v>
      </c>
      <c r="W55" s="6">
        <v>12.723438085441197</v>
      </c>
      <c r="AL55" s="6">
        <f t="shared" si="1"/>
        <v>2</v>
      </c>
      <c r="AM55" s="6">
        <f t="shared" si="2"/>
        <v>7</v>
      </c>
      <c r="AN55" s="6">
        <v>0.644224713186896</v>
      </c>
      <c r="AQ55" s="6">
        <f t="shared" si="3"/>
        <v>0.644224713186896</v>
      </c>
      <c r="AR55" s="6">
        <v>70</v>
      </c>
      <c r="AS55" s="6">
        <v>0.5</v>
      </c>
      <c r="AT55" s="2">
        <v>7.2379966018793956E-2</v>
      </c>
      <c r="AU55" s="2">
        <v>56.288490089991853</v>
      </c>
      <c r="AV55" s="2">
        <f t="shared" si="4"/>
        <v>0.24310363776239147</v>
      </c>
    </row>
    <row r="56" spans="1:48" ht="15.6" x14ac:dyDescent="0.25">
      <c r="A56" s="5" t="s">
        <v>53</v>
      </c>
      <c r="B56" s="5" t="s">
        <v>168</v>
      </c>
      <c r="C56" s="6" t="s">
        <v>307</v>
      </c>
      <c r="D56" s="6" t="s">
        <v>185</v>
      </c>
      <c r="E56" s="5" t="s">
        <v>313</v>
      </c>
      <c r="F56" s="6" t="s">
        <v>189</v>
      </c>
      <c r="G56" s="6" t="s">
        <v>316</v>
      </c>
      <c r="H56" s="6">
        <v>52.67</v>
      </c>
      <c r="I56" s="6">
        <v>43</v>
      </c>
      <c r="J56" s="6">
        <v>31.3</v>
      </c>
      <c r="K56" s="6">
        <v>84.4</v>
      </c>
      <c r="L56" s="6">
        <v>166.92</v>
      </c>
      <c r="Q56" s="6" t="s">
        <v>319</v>
      </c>
      <c r="R56" s="6">
        <v>3</v>
      </c>
      <c r="S56" s="6">
        <f t="shared" si="0"/>
        <v>5</v>
      </c>
      <c r="T56" s="6">
        <v>1</v>
      </c>
      <c r="U56" s="6">
        <v>4</v>
      </c>
      <c r="V56" s="6">
        <v>43.67</v>
      </c>
      <c r="W56" s="6">
        <v>19.02166329082668</v>
      </c>
      <c r="X56" s="6" t="s">
        <v>319</v>
      </c>
      <c r="Y56" s="6">
        <v>3</v>
      </c>
      <c r="Z56" s="6">
        <f t="shared" si="5"/>
        <v>21</v>
      </c>
      <c r="AA56" s="6">
        <v>3</v>
      </c>
      <c r="AB56" s="6">
        <v>18</v>
      </c>
      <c r="AC56" s="6">
        <v>65.650000000000006</v>
      </c>
      <c r="AD56" s="6">
        <v>32.442711854572337</v>
      </c>
      <c r="AL56" s="6">
        <f t="shared" si="1"/>
        <v>3</v>
      </c>
      <c r="AM56" s="6">
        <f t="shared" si="2"/>
        <v>26</v>
      </c>
      <c r="AN56" s="6">
        <v>0.60772087191139557</v>
      </c>
      <c r="AO56" s="6">
        <v>1</v>
      </c>
      <c r="AQ56" s="6">
        <f t="shared" si="3"/>
        <v>0.80386043595569778</v>
      </c>
      <c r="AR56" s="6">
        <v>72.316666666666663</v>
      </c>
      <c r="AS56" s="6">
        <v>0.8571428571428571</v>
      </c>
      <c r="AT56" s="2"/>
      <c r="AU56" s="2">
        <v>562.60854908950216</v>
      </c>
      <c r="AV56" s="2">
        <f t="shared" si="4"/>
        <v>0.65492451473759894</v>
      </c>
    </row>
    <row r="57" spans="1:48" ht="15.6" x14ac:dyDescent="0.25">
      <c r="A57" s="5" t="s">
        <v>54</v>
      </c>
      <c r="B57" s="5" t="s">
        <v>168</v>
      </c>
      <c r="C57" s="6" t="s">
        <v>307</v>
      </c>
      <c r="D57" s="6" t="s">
        <v>172</v>
      </c>
      <c r="E57" s="5" t="s">
        <v>312</v>
      </c>
      <c r="F57" s="6" t="s">
        <v>193</v>
      </c>
      <c r="G57" s="6" t="s">
        <v>318</v>
      </c>
      <c r="H57" s="6">
        <v>62.78</v>
      </c>
      <c r="I57" s="6">
        <v>42.38</v>
      </c>
      <c r="J57" s="6">
        <v>36.06</v>
      </c>
      <c r="K57" s="6">
        <v>100.3</v>
      </c>
      <c r="L57" s="6">
        <v>163.21</v>
      </c>
      <c r="Q57" s="6" t="s">
        <v>319</v>
      </c>
      <c r="R57" s="6">
        <v>3</v>
      </c>
      <c r="S57" s="6">
        <f t="shared" si="0"/>
        <v>14</v>
      </c>
      <c r="T57" s="6">
        <v>4</v>
      </c>
      <c r="U57" s="6">
        <v>10</v>
      </c>
      <c r="V57" s="6">
        <v>90.210000000000008</v>
      </c>
      <c r="W57" s="6">
        <v>33.348440161387906</v>
      </c>
      <c r="AL57" s="6">
        <f t="shared" si="1"/>
        <v>3</v>
      </c>
      <c r="AM57" s="6">
        <f t="shared" si="2"/>
        <v>14</v>
      </c>
      <c r="AN57" s="6">
        <v>0.9248042196724322</v>
      </c>
      <c r="AQ57" s="6">
        <f t="shared" si="3"/>
        <v>0.9248042196724322</v>
      </c>
      <c r="AR57" s="6">
        <v>71</v>
      </c>
      <c r="AS57" s="6">
        <v>1</v>
      </c>
      <c r="AT57" s="2">
        <v>0.61228011839946028</v>
      </c>
      <c r="AU57" s="2">
        <v>300.83627869588031</v>
      </c>
      <c r="AV57" s="2">
        <f t="shared" si="4"/>
        <v>0.55272348508057112</v>
      </c>
    </row>
    <row r="58" spans="1:48" ht="15.6" x14ac:dyDescent="0.25">
      <c r="A58" s="5" t="s">
        <v>55</v>
      </c>
      <c r="B58" s="5" t="s">
        <v>265</v>
      </c>
      <c r="C58" s="6" t="s">
        <v>307</v>
      </c>
      <c r="D58" s="6" t="s">
        <v>173</v>
      </c>
      <c r="E58" s="5" t="s">
        <v>312</v>
      </c>
      <c r="F58" s="6" t="s">
        <v>189</v>
      </c>
      <c r="G58" s="6" t="s">
        <v>316</v>
      </c>
      <c r="H58" s="6">
        <v>54.51</v>
      </c>
      <c r="I58" s="6">
        <v>42.8</v>
      </c>
      <c r="J58" s="6">
        <v>26.63</v>
      </c>
      <c r="K58" s="6">
        <v>62.3</v>
      </c>
      <c r="L58" s="6">
        <v>141.30000000000001</v>
      </c>
      <c r="Q58" s="6" t="s">
        <v>319</v>
      </c>
      <c r="R58" s="6">
        <v>3</v>
      </c>
      <c r="S58" s="6">
        <f t="shared" si="0"/>
        <v>21</v>
      </c>
      <c r="T58" s="6">
        <v>5</v>
      </c>
      <c r="U58" s="6">
        <v>16</v>
      </c>
      <c r="V58" s="6">
        <v>43.769999999999996</v>
      </c>
      <c r="W58" s="6">
        <v>17.840585501738627</v>
      </c>
      <c r="AL58" s="6">
        <f t="shared" si="1"/>
        <v>3</v>
      </c>
      <c r="AM58" s="6">
        <f t="shared" si="2"/>
        <v>21</v>
      </c>
      <c r="AN58" s="6">
        <v>0.66994312811635848</v>
      </c>
      <c r="AQ58" s="6">
        <f t="shared" si="3"/>
        <v>0.66994312811635848</v>
      </c>
      <c r="AR58" s="6">
        <v>65.666666666666671</v>
      </c>
      <c r="AS58" s="6">
        <v>0.9</v>
      </c>
      <c r="AT58" s="2">
        <v>0.28150882169466024</v>
      </c>
      <c r="AU58" s="2">
        <v>78.088242741109951</v>
      </c>
      <c r="AV58" s="2">
        <f t="shared" si="4"/>
        <v>0.30976645435244154</v>
      </c>
    </row>
    <row r="59" spans="1:48" ht="15.6" x14ac:dyDescent="0.25">
      <c r="A59" s="5" t="s">
        <v>56</v>
      </c>
      <c r="B59" s="5" t="s">
        <v>168</v>
      </c>
      <c r="C59" s="6" t="s">
        <v>307</v>
      </c>
      <c r="D59" s="6" t="s">
        <v>183</v>
      </c>
      <c r="E59" s="5" t="s">
        <v>313</v>
      </c>
      <c r="F59" s="6" t="s">
        <v>193</v>
      </c>
      <c r="G59" s="6" t="s">
        <v>318</v>
      </c>
      <c r="H59" s="6">
        <v>60.11</v>
      </c>
      <c r="I59" s="6">
        <v>59.19</v>
      </c>
      <c r="J59" s="6">
        <v>25.2</v>
      </c>
      <c r="K59" s="6">
        <v>112.2</v>
      </c>
      <c r="L59" s="6">
        <v>175.31</v>
      </c>
      <c r="Q59" s="6" t="s">
        <v>319</v>
      </c>
      <c r="R59" s="6">
        <v>3</v>
      </c>
      <c r="S59" s="6">
        <f t="shared" si="0"/>
        <v>16</v>
      </c>
      <c r="T59" s="6">
        <v>5</v>
      </c>
      <c r="U59" s="6">
        <v>11</v>
      </c>
      <c r="V59" s="6">
        <v>35.880000000000003</v>
      </c>
      <c r="W59" s="6">
        <v>20.763746314986548</v>
      </c>
      <c r="X59" s="6" t="s">
        <v>319</v>
      </c>
      <c r="Y59" s="6">
        <v>2</v>
      </c>
      <c r="Z59" s="6">
        <f t="shared" si="5"/>
        <v>14</v>
      </c>
      <c r="AA59" s="6">
        <v>3</v>
      </c>
      <c r="AB59" s="6">
        <v>11</v>
      </c>
      <c r="AC59" s="6">
        <v>42.09</v>
      </c>
      <c r="AD59" s="6">
        <v>24.644908708517857</v>
      </c>
      <c r="AL59" s="6">
        <f t="shared" si="1"/>
        <v>2.5</v>
      </c>
      <c r="AM59" s="6">
        <f t="shared" si="2"/>
        <v>30</v>
      </c>
      <c r="AN59" s="6">
        <v>0.82395818710264079</v>
      </c>
      <c r="AO59" s="6">
        <v>1</v>
      </c>
      <c r="AQ59" s="6">
        <f t="shared" si="3"/>
        <v>0.91197909355132034</v>
      </c>
      <c r="AR59" s="6">
        <v>72.316666666666663</v>
      </c>
      <c r="AS59" s="6">
        <v>0.5</v>
      </c>
      <c r="AT59" s="2"/>
      <c r="AU59" s="2">
        <v>354.05128321826385</v>
      </c>
      <c r="AV59" s="2">
        <f t="shared" si="4"/>
        <v>0.44475500541897212</v>
      </c>
    </row>
    <row r="60" spans="1:48" ht="15.6" x14ac:dyDescent="0.25">
      <c r="A60" s="5" t="s">
        <v>57</v>
      </c>
      <c r="B60" s="5" t="s">
        <v>168</v>
      </c>
      <c r="C60" s="6" t="s">
        <v>307</v>
      </c>
      <c r="D60" s="6" t="s">
        <v>180</v>
      </c>
      <c r="E60" s="5" t="s">
        <v>313</v>
      </c>
      <c r="F60" s="6" t="s">
        <v>193</v>
      </c>
      <c r="G60" s="6" t="s">
        <v>318</v>
      </c>
      <c r="H60" s="6">
        <v>64.3</v>
      </c>
      <c r="I60" s="6">
        <v>56.45</v>
      </c>
      <c r="J60" s="6">
        <v>23.88</v>
      </c>
      <c r="K60" s="6">
        <v>84.8</v>
      </c>
      <c r="L60" s="6">
        <v>171.08</v>
      </c>
      <c r="Q60" s="6" t="s">
        <v>319</v>
      </c>
      <c r="R60" s="6">
        <v>3</v>
      </c>
      <c r="S60" s="6">
        <f t="shared" si="0"/>
        <v>8</v>
      </c>
      <c r="T60" s="6">
        <v>2</v>
      </c>
      <c r="U60" s="6">
        <v>6</v>
      </c>
      <c r="V60" s="6">
        <v>47.22</v>
      </c>
      <c r="W60" s="6">
        <v>23.605078634142018</v>
      </c>
      <c r="X60" s="6" t="s">
        <v>319</v>
      </c>
      <c r="Y60" s="6">
        <v>3</v>
      </c>
      <c r="Z60" s="6">
        <f t="shared" si="5"/>
        <v>12</v>
      </c>
      <c r="AA60" s="6">
        <v>2</v>
      </c>
      <c r="AB60" s="6">
        <v>10</v>
      </c>
      <c r="AC60" s="6">
        <v>32.5</v>
      </c>
      <c r="AD60" s="6">
        <v>23.817088532793786</v>
      </c>
      <c r="AL60" s="6">
        <f t="shared" si="1"/>
        <v>3</v>
      </c>
      <c r="AM60" s="6">
        <f t="shared" si="2"/>
        <v>20</v>
      </c>
      <c r="AN60" s="6">
        <v>0.98848737998919678</v>
      </c>
      <c r="AO60" s="6">
        <v>1</v>
      </c>
      <c r="AQ60" s="6">
        <f t="shared" si="3"/>
        <v>0.99424368999459833</v>
      </c>
      <c r="AR60" s="6">
        <v>66.150000000000006</v>
      </c>
      <c r="AS60" s="6">
        <v>1</v>
      </c>
      <c r="AT60" s="2"/>
      <c r="AU60" s="2">
        <v>378.04951665481224</v>
      </c>
      <c r="AV60" s="2">
        <f t="shared" si="4"/>
        <v>0.46598082768295529</v>
      </c>
    </row>
    <row r="61" spans="1:48" ht="15.6" x14ac:dyDescent="0.25">
      <c r="A61" s="5" t="s">
        <v>58</v>
      </c>
      <c r="B61" s="5" t="s">
        <v>168</v>
      </c>
      <c r="C61" s="6" t="s">
        <v>307</v>
      </c>
      <c r="D61" s="6" t="s">
        <v>311</v>
      </c>
      <c r="E61" s="5" t="s">
        <v>313</v>
      </c>
      <c r="F61" s="6">
        <v>0</v>
      </c>
      <c r="G61" s="6" t="s">
        <v>315</v>
      </c>
      <c r="H61" s="6">
        <v>58.76</v>
      </c>
      <c r="I61" s="6">
        <v>39.47</v>
      </c>
      <c r="J61" s="6">
        <v>13.5</v>
      </c>
      <c r="K61" s="6">
        <v>42.9</v>
      </c>
      <c r="L61" s="6">
        <v>157.04000000000002</v>
      </c>
      <c r="M61" s="6" t="s">
        <v>196</v>
      </c>
      <c r="N61" s="6">
        <v>6.68</v>
      </c>
      <c r="O61" s="6">
        <v>24.09</v>
      </c>
      <c r="P61" s="6">
        <v>123.8</v>
      </c>
      <c r="Q61" s="6" t="s">
        <v>319</v>
      </c>
      <c r="R61" s="6">
        <v>3</v>
      </c>
      <c r="S61" s="6">
        <f t="shared" si="0"/>
        <v>14</v>
      </c>
      <c r="T61" s="6">
        <v>3</v>
      </c>
      <c r="U61" s="6">
        <v>11</v>
      </c>
      <c r="V61" s="6">
        <v>33.24</v>
      </c>
      <c r="W61" s="6">
        <v>12.171729292522489</v>
      </c>
      <c r="X61" s="6" t="s">
        <v>322</v>
      </c>
      <c r="Y61" s="6">
        <v>3</v>
      </c>
      <c r="Z61" s="6">
        <f t="shared" si="5"/>
        <v>15</v>
      </c>
      <c r="AA61" s="6">
        <v>4</v>
      </c>
      <c r="AB61" s="6">
        <v>11</v>
      </c>
      <c r="AC61" s="6">
        <v>45.66</v>
      </c>
      <c r="AD61" s="6">
        <v>14.742223287611921</v>
      </c>
      <c r="AL61" s="6">
        <f t="shared" si="1"/>
        <v>3</v>
      </c>
      <c r="AM61" s="6">
        <f t="shared" si="2"/>
        <v>29</v>
      </c>
      <c r="AN61" s="6">
        <v>0.90160957722388801</v>
      </c>
      <c r="AO61" s="6">
        <v>1</v>
      </c>
      <c r="AQ61" s="6">
        <f t="shared" si="3"/>
        <v>0.95080478861194395</v>
      </c>
      <c r="AR61" s="6">
        <v>63.333333333333329</v>
      </c>
      <c r="AS61" s="6">
        <v>0.5625</v>
      </c>
      <c r="AT61" s="2"/>
      <c r="AU61" s="2">
        <v>212.35108585726053</v>
      </c>
      <c r="AV61" s="2">
        <f t="shared" si="4"/>
        <v>0.50241976566479873</v>
      </c>
    </row>
    <row r="62" spans="1:48" ht="15.6" x14ac:dyDescent="0.25">
      <c r="A62" s="5" t="s">
        <v>59</v>
      </c>
      <c r="B62" s="5" t="s">
        <v>168</v>
      </c>
      <c r="C62" s="6" t="s">
        <v>307</v>
      </c>
      <c r="D62" s="6" t="s">
        <v>310</v>
      </c>
      <c r="E62" s="5" t="s">
        <v>312</v>
      </c>
      <c r="F62" s="6">
        <v>0</v>
      </c>
      <c r="G62" s="6" t="s">
        <v>315</v>
      </c>
      <c r="H62" s="6">
        <v>65.599999999999994</v>
      </c>
      <c r="I62" s="6">
        <v>46.2</v>
      </c>
      <c r="J62" s="6">
        <v>15.9</v>
      </c>
      <c r="K62" s="6">
        <v>55.7</v>
      </c>
      <c r="L62" s="6">
        <v>167.96</v>
      </c>
      <c r="Q62" s="6" t="s">
        <v>320</v>
      </c>
      <c r="R62" s="6">
        <v>2</v>
      </c>
      <c r="S62" s="6">
        <f t="shared" si="0"/>
        <v>12</v>
      </c>
      <c r="T62" s="6">
        <v>5</v>
      </c>
      <c r="U62" s="6">
        <v>7</v>
      </c>
      <c r="V62" s="6">
        <v>79.3</v>
      </c>
      <c r="W62" s="6">
        <v>12.814775688235958</v>
      </c>
      <c r="AL62" s="6">
        <f t="shared" si="1"/>
        <v>2</v>
      </c>
      <c r="AM62" s="6">
        <f t="shared" si="2"/>
        <v>12</v>
      </c>
      <c r="AN62" s="6">
        <v>0.80596073510917976</v>
      </c>
      <c r="AQ62" s="6">
        <f t="shared" si="3"/>
        <v>0.80596073510917976</v>
      </c>
      <c r="AR62" s="6">
        <v>71.666666666666671</v>
      </c>
      <c r="AS62" s="6">
        <v>0.6</v>
      </c>
      <c r="AT62" s="2">
        <v>0.6097885147343205</v>
      </c>
      <c r="AU62" s="2">
        <v>101.62117120771114</v>
      </c>
      <c r="AV62" s="2">
        <f t="shared" si="4"/>
        <v>0.47213622291021667</v>
      </c>
    </row>
    <row r="63" spans="1:48" ht="15.6" x14ac:dyDescent="0.25">
      <c r="A63" s="5" t="s">
        <v>60</v>
      </c>
      <c r="B63" s="5" t="s">
        <v>168</v>
      </c>
      <c r="C63" s="6" t="s">
        <v>307</v>
      </c>
      <c r="D63" s="6" t="s">
        <v>172</v>
      </c>
      <c r="E63" s="5" t="s">
        <v>312</v>
      </c>
      <c r="F63" s="6" t="s">
        <v>193</v>
      </c>
      <c r="G63" s="6" t="s">
        <v>317</v>
      </c>
      <c r="H63" s="6">
        <v>76.319999999999993</v>
      </c>
      <c r="I63" s="6">
        <v>51.55</v>
      </c>
      <c r="J63" s="6">
        <v>17.48</v>
      </c>
      <c r="K63" s="6">
        <v>75.900000000000006</v>
      </c>
      <c r="L63" s="6">
        <v>192.92000000000002</v>
      </c>
      <c r="M63" s="6" t="s">
        <v>196</v>
      </c>
      <c r="N63" s="6">
        <v>8.14</v>
      </c>
      <c r="O63" s="6">
        <v>15.88</v>
      </c>
      <c r="P63" s="6">
        <v>127.2</v>
      </c>
      <c r="Q63" s="6" t="s">
        <v>319</v>
      </c>
      <c r="R63" s="6">
        <v>2</v>
      </c>
      <c r="S63" s="6">
        <f t="shared" si="0"/>
        <v>7</v>
      </c>
      <c r="T63" s="6">
        <v>1</v>
      </c>
      <c r="U63" s="6">
        <v>6</v>
      </c>
      <c r="V63" s="6">
        <v>82.11</v>
      </c>
      <c r="W63" s="6">
        <v>12.081517814948691</v>
      </c>
      <c r="AL63" s="6">
        <f t="shared" si="1"/>
        <v>2</v>
      </c>
      <c r="AM63" s="6">
        <f t="shared" si="2"/>
        <v>7</v>
      </c>
      <c r="AN63" s="6">
        <v>0.69116234639294571</v>
      </c>
      <c r="AQ63" s="6">
        <f t="shared" si="3"/>
        <v>0.69116234639294571</v>
      </c>
      <c r="AR63" s="6">
        <v>68.333333333333329</v>
      </c>
      <c r="AS63" s="6">
        <v>0.9</v>
      </c>
      <c r="AT63" s="2">
        <v>4.865340631296499E-2</v>
      </c>
      <c r="AU63" s="2">
        <v>99.201342778543705</v>
      </c>
      <c r="AV63" s="2">
        <f t="shared" si="4"/>
        <v>0.42561683599419442</v>
      </c>
    </row>
    <row r="64" spans="1:48" ht="15.6" x14ac:dyDescent="0.25">
      <c r="A64" s="5" t="s">
        <v>61</v>
      </c>
      <c r="B64" s="5" t="s">
        <v>168</v>
      </c>
      <c r="C64" s="6" t="s">
        <v>307</v>
      </c>
      <c r="D64" s="6" t="s">
        <v>175</v>
      </c>
      <c r="E64" s="5" t="s">
        <v>313</v>
      </c>
      <c r="F64" s="6" t="s">
        <v>192</v>
      </c>
      <c r="G64" s="6" t="s">
        <v>317</v>
      </c>
      <c r="H64" s="6">
        <v>56.76</v>
      </c>
      <c r="I64" s="6">
        <v>52.67</v>
      </c>
      <c r="J64" s="6">
        <v>24.16</v>
      </c>
      <c r="K64" s="6">
        <v>66.099999999999994</v>
      </c>
      <c r="L64" s="6">
        <v>127.50999999999999</v>
      </c>
      <c r="M64" s="6" t="s">
        <v>196</v>
      </c>
      <c r="N64" s="6">
        <v>4.41</v>
      </c>
      <c r="O64" s="6">
        <v>16.100000000000001</v>
      </c>
      <c r="P64" s="6">
        <v>113.15</v>
      </c>
      <c r="Q64" s="6" t="s">
        <v>319</v>
      </c>
      <c r="R64" s="6">
        <v>2</v>
      </c>
      <c r="S64" s="6">
        <f t="shared" si="0"/>
        <v>15</v>
      </c>
      <c r="T64" s="6">
        <v>3</v>
      </c>
      <c r="U64" s="6">
        <v>12</v>
      </c>
      <c r="V64" s="6">
        <v>58.319999999999993</v>
      </c>
      <c r="W64" s="6">
        <v>14.286101785774161</v>
      </c>
      <c r="X64" s="6" t="s">
        <v>319</v>
      </c>
      <c r="Y64" s="6">
        <v>3</v>
      </c>
      <c r="Z64" s="6">
        <f t="shared" si="5"/>
        <v>3</v>
      </c>
      <c r="AA64" s="6">
        <v>3</v>
      </c>
      <c r="AB64" s="6">
        <v>0</v>
      </c>
      <c r="AC64" s="6">
        <v>28.91</v>
      </c>
      <c r="AD64" s="6">
        <v>11.279343113575962</v>
      </c>
      <c r="AL64" s="6">
        <f t="shared" si="1"/>
        <v>2.5</v>
      </c>
      <c r="AM64" s="6">
        <f t="shared" si="2"/>
        <v>18</v>
      </c>
      <c r="AN64" s="6">
        <v>0.59131216000720865</v>
      </c>
      <c r="AO64" s="6">
        <v>0.4668602282109256</v>
      </c>
      <c r="AQ64" s="6">
        <f t="shared" si="3"/>
        <v>0.5290861941090671</v>
      </c>
      <c r="AR64" s="6">
        <v>73.683333333333337</v>
      </c>
      <c r="AS64" s="6">
        <v>0.5</v>
      </c>
      <c r="AT64" s="2">
        <v>0.18090164043988155</v>
      </c>
      <c r="AU64" s="2">
        <v>223.00737585703109</v>
      </c>
      <c r="AV64" s="2">
        <f t="shared" si="4"/>
        <v>0.6841032075915614</v>
      </c>
    </row>
    <row r="65" spans="1:48" ht="15.6" x14ac:dyDescent="0.25">
      <c r="A65" s="5" t="s">
        <v>62</v>
      </c>
      <c r="B65" s="5" t="s">
        <v>168</v>
      </c>
      <c r="C65" s="6" t="s">
        <v>307</v>
      </c>
      <c r="D65" s="6" t="s">
        <v>171</v>
      </c>
      <c r="E65" s="5" t="s">
        <v>312</v>
      </c>
      <c r="F65" s="6" t="s">
        <v>192</v>
      </c>
      <c r="G65" s="6" t="s">
        <v>190</v>
      </c>
      <c r="H65" s="6">
        <v>52.37</v>
      </c>
      <c r="I65" s="6">
        <v>45.2</v>
      </c>
      <c r="J65" s="6">
        <v>21</v>
      </c>
      <c r="K65" s="6">
        <v>40</v>
      </c>
      <c r="L65" s="6">
        <v>148.87</v>
      </c>
      <c r="Q65" s="6" t="s">
        <v>319</v>
      </c>
      <c r="R65" s="6">
        <v>2</v>
      </c>
      <c r="S65" s="6">
        <f t="shared" si="0"/>
        <v>12</v>
      </c>
      <c r="T65" s="6">
        <v>4</v>
      </c>
      <c r="U65" s="6">
        <v>8</v>
      </c>
      <c r="V65" s="6">
        <v>40.76</v>
      </c>
      <c r="W65" s="6">
        <v>9.4013857242892875</v>
      </c>
      <c r="AL65" s="6">
        <f t="shared" si="1"/>
        <v>2</v>
      </c>
      <c r="AM65" s="6">
        <f t="shared" si="2"/>
        <v>12</v>
      </c>
      <c r="AN65" s="6">
        <v>0.44768503448996605</v>
      </c>
      <c r="AQ65" s="6">
        <f t="shared" si="3"/>
        <v>0.44768503448996605</v>
      </c>
      <c r="AR65" s="6">
        <v>64</v>
      </c>
      <c r="AS65" s="6">
        <v>0.8</v>
      </c>
      <c r="AT65" s="2">
        <v>2.8906351358398323E-3</v>
      </c>
      <c r="AU65" s="2">
        <v>38.320048212203133</v>
      </c>
      <c r="AV65" s="2">
        <f t="shared" si="4"/>
        <v>0.27379592933431851</v>
      </c>
    </row>
    <row r="66" spans="1:48" ht="15.6" x14ac:dyDescent="0.25">
      <c r="A66" s="5" t="s">
        <v>63</v>
      </c>
      <c r="B66" s="5" t="s">
        <v>168</v>
      </c>
      <c r="C66" s="6" t="s">
        <v>307</v>
      </c>
      <c r="D66" s="6" t="s">
        <v>185</v>
      </c>
      <c r="E66" s="5" t="s">
        <v>313</v>
      </c>
      <c r="F66" s="6">
        <v>0</v>
      </c>
      <c r="G66" s="6" t="s">
        <v>315</v>
      </c>
      <c r="H66" s="6">
        <v>49.6</v>
      </c>
      <c r="I66" s="6">
        <v>49.3</v>
      </c>
      <c r="J66" s="6">
        <v>22.9</v>
      </c>
      <c r="K66" s="6">
        <v>37</v>
      </c>
      <c r="L66" s="6">
        <v>136.22</v>
      </c>
      <c r="Q66" s="6" t="s">
        <v>319</v>
      </c>
      <c r="R66" s="6">
        <v>2</v>
      </c>
      <c r="S66" s="6">
        <f t="shared" si="0"/>
        <v>6</v>
      </c>
      <c r="T66" s="6">
        <v>2</v>
      </c>
      <c r="U66" s="6">
        <v>4</v>
      </c>
      <c r="V66" s="6">
        <v>33.700000000000003</v>
      </c>
      <c r="W66" s="6">
        <v>4.8857465128089927</v>
      </c>
      <c r="X66" s="6" t="s">
        <v>319</v>
      </c>
      <c r="Y66" s="6">
        <v>2</v>
      </c>
      <c r="Z66" s="6">
        <f t="shared" si="5"/>
        <v>3</v>
      </c>
      <c r="AA66" s="6">
        <v>3</v>
      </c>
      <c r="AB66" s="6">
        <v>0</v>
      </c>
      <c r="AC66" s="6">
        <v>44.38</v>
      </c>
      <c r="AD66" s="6">
        <v>8.0823281558191677</v>
      </c>
      <c r="AL66" s="6">
        <f t="shared" si="1"/>
        <v>2</v>
      </c>
      <c r="AM66" s="6">
        <f t="shared" si="2"/>
        <v>9</v>
      </c>
      <c r="AN66" s="6">
        <v>0.21335137610519619</v>
      </c>
      <c r="AO66" s="6">
        <v>0.35294009414057503</v>
      </c>
      <c r="AQ66" s="6">
        <f t="shared" si="3"/>
        <v>0.2831457351228856</v>
      </c>
      <c r="AR66" s="6">
        <v>70.016666666666666</v>
      </c>
      <c r="AS66" s="6">
        <v>0.5</v>
      </c>
      <c r="AT66" s="2">
        <v>4.4882719423829896E-2</v>
      </c>
      <c r="AU66" s="2">
        <v>101.2547270126487</v>
      </c>
      <c r="AV66" s="2">
        <f t="shared" si="4"/>
        <v>0.57319042725003677</v>
      </c>
    </row>
    <row r="67" spans="1:48" ht="15.6" x14ac:dyDescent="0.25">
      <c r="A67" s="5" t="s">
        <v>64</v>
      </c>
      <c r="B67" s="5" t="s">
        <v>168</v>
      </c>
      <c r="C67" s="6" t="s">
        <v>307</v>
      </c>
      <c r="D67" s="6" t="s">
        <v>309</v>
      </c>
      <c r="E67" s="5" t="s">
        <v>312</v>
      </c>
      <c r="F67" s="6" t="s">
        <v>191</v>
      </c>
      <c r="G67" s="6" t="s">
        <v>190</v>
      </c>
      <c r="H67" s="6">
        <v>67.510000000000005</v>
      </c>
      <c r="I67" s="6">
        <v>55.5</v>
      </c>
      <c r="J67" s="6">
        <v>31.5</v>
      </c>
      <c r="K67" s="6">
        <v>117.7</v>
      </c>
      <c r="L67" s="6">
        <v>141.29</v>
      </c>
      <c r="Q67" s="6" t="s">
        <v>319</v>
      </c>
      <c r="R67" s="6">
        <v>2</v>
      </c>
      <c r="S67" s="6">
        <f t="shared" ref="S67:S130" si="6">T67+U67</f>
        <v>11</v>
      </c>
      <c r="T67" s="6">
        <v>6</v>
      </c>
      <c r="U67" s="6">
        <v>5</v>
      </c>
      <c r="V67" s="6">
        <v>54.400000000000006</v>
      </c>
      <c r="W67" s="6">
        <v>9.7339632717781885</v>
      </c>
      <c r="AL67" s="6">
        <f t="shared" ref="AL67:AL130" si="7">AVERAGE(R67,Y67,AF67)</f>
        <v>2</v>
      </c>
      <c r="AM67" s="6">
        <f t="shared" ref="AM67:AM130" si="8">S67+Z67+AG67</f>
        <v>11</v>
      </c>
      <c r="AN67" s="6">
        <v>0.30901470704057743</v>
      </c>
      <c r="AQ67" s="6">
        <f t="shared" ref="AQ67:AQ130" si="9">AVERAGE(AN67:AP67)</f>
        <v>0.30901470704057743</v>
      </c>
      <c r="AR67" s="6">
        <v>68.666666666666671</v>
      </c>
      <c r="AS67" s="6">
        <v>0.5</v>
      </c>
      <c r="AT67" s="2">
        <v>1.5435672978364632E-2</v>
      </c>
      <c r="AU67" s="2">
        <v>52.952760198473356</v>
      </c>
      <c r="AV67" s="2">
        <f t="shared" ref="AV67:AV130" si="10">(V67+AC67+AJ67)/L67</f>
        <v>0.3850237100997948</v>
      </c>
    </row>
    <row r="68" spans="1:48" ht="15.6" x14ac:dyDescent="0.25">
      <c r="A68" s="5" t="s">
        <v>65</v>
      </c>
      <c r="B68" s="5" t="s">
        <v>168</v>
      </c>
      <c r="C68" s="6" t="s">
        <v>307</v>
      </c>
      <c r="D68" s="6" t="s">
        <v>180</v>
      </c>
      <c r="E68" s="5" t="s">
        <v>313</v>
      </c>
      <c r="F68" s="6">
        <v>0</v>
      </c>
      <c r="G68" s="6" t="s">
        <v>315</v>
      </c>
      <c r="H68" s="6">
        <v>48.52</v>
      </c>
      <c r="I68" s="6">
        <v>31.96</v>
      </c>
      <c r="J68" s="6">
        <v>26.1</v>
      </c>
      <c r="K68" s="6">
        <v>56.6</v>
      </c>
      <c r="L68" s="6">
        <v>134.85</v>
      </c>
      <c r="Q68" s="6" t="s">
        <v>319</v>
      </c>
      <c r="R68" s="6">
        <v>3</v>
      </c>
      <c r="S68" s="6">
        <f t="shared" si="6"/>
        <v>15</v>
      </c>
      <c r="T68" s="6">
        <v>3</v>
      </c>
      <c r="U68" s="6">
        <v>12</v>
      </c>
      <c r="V68" s="6">
        <v>49</v>
      </c>
      <c r="W68" s="6">
        <v>15.688649465362163</v>
      </c>
      <c r="Y68" s="6">
        <v>4</v>
      </c>
      <c r="Z68" s="6">
        <f t="shared" si="5"/>
        <v>17</v>
      </c>
      <c r="AA68" s="6">
        <v>6</v>
      </c>
      <c r="AB68" s="6">
        <v>11</v>
      </c>
      <c r="AC68" s="6">
        <v>44.66</v>
      </c>
      <c r="AD68" s="6">
        <v>25.75939794203514</v>
      </c>
      <c r="AL68" s="6">
        <f t="shared" si="7"/>
        <v>3.5</v>
      </c>
      <c r="AM68" s="6">
        <f t="shared" si="8"/>
        <v>32</v>
      </c>
      <c r="AN68" s="6">
        <v>0.60109768066521696</v>
      </c>
      <c r="AO68" s="6">
        <v>1</v>
      </c>
      <c r="AQ68" s="6">
        <f t="shared" si="9"/>
        <v>0.80054884033260842</v>
      </c>
      <c r="AR68" s="6">
        <v>81.016666666666666</v>
      </c>
      <c r="AS68" s="6">
        <v>0.625</v>
      </c>
      <c r="AT68" s="2"/>
      <c r="AU68" s="2">
        <v>388.20241201768312</v>
      </c>
      <c r="AV68" s="2">
        <f t="shared" si="10"/>
        <v>0.69454949944382649</v>
      </c>
    </row>
    <row r="69" spans="1:48" ht="15.6" x14ac:dyDescent="0.25">
      <c r="A69" s="5" t="s">
        <v>66</v>
      </c>
      <c r="B69" s="5" t="s">
        <v>168</v>
      </c>
      <c r="C69" s="6" t="s">
        <v>307</v>
      </c>
      <c r="D69" s="6" t="s">
        <v>172</v>
      </c>
      <c r="E69" s="5" t="s">
        <v>312</v>
      </c>
      <c r="F69" s="6">
        <v>0</v>
      </c>
      <c r="G69" s="6" t="s">
        <v>315</v>
      </c>
      <c r="H69" s="6">
        <v>75</v>
      </c>
      <c r="I69" s="6">
        <v>52</v>
      </c>
      <c r="J69" s="6">
        <v>16.25</v>
      </c>
      <c r="K69" s="6">
        <v>77.900000000000006</v>
      </c>
      <c r="L69" s="6">
        <v>196.26</v>
      </c>
      <c r="Q69" s="6" t="s">
        <v>319</v>
      </c>
      <c r="R69" s="6">
        <v>3</v>
      </c>
      <c r="S69" s="6">
        <f t="shared" si="6"/>
        <v>14</v>
      </c>
      <c r="T69" s="6">
        <v>3</v>
      </c>
      <c r="U69" s="6">
        <v>11</v>
      </c>
      <c r="V69" s="6">
        <v>62.99</v>
      </c>
      <c r="W69" s="6">
        <v>17.277471752066514</v>
      </c>
      <c r="AL69" s="6">
        <f t="shared" si="7"/>
        <v>3</v>
      </c>
      <c r="AM69" s="6">
        <f t="shared" si="8"/>
        <v>14</v>
      </c>
      <c r="AN69" s="6">
        <v>1</v>
      </c>
      <c r="AQ69" s="6">
        <f t="shared" si="9"/>
        <v>1</v>
      </c>
      <c r="AR69" s="6">
        <v>70.666666666666671</v>
      </c>
      <c r="AS69" s="6">
        <v>0.5</v>
      </c>
      <c r="AT69" s="2"/>
      <c r="AU69" s="2">
        <v>108.83079456626697</v>
      </c>
      <c r="AV69" s="2">
        <f t="shared" si="10"/>
        <v>0.32095179863446449</v>
      </c>
    </row>
    <row r="70" spans="1:48" ht="15.6" x14ac:dyDescent="0.25">
      <c r="A70" s="5" t="s">
        <v>67</v>
      </c>
      <c r="B70" s="5" t="s">
        <v>168</v>
      </c>
      <c r="C70" s="6" t="s">
        <v>307</v>
      </c>
      <c r="D70" s="6" t="s">
        <v>185</v>
      </c>
      <c r="E70" s="5" t="s">
        <v>313</v>
      </c>
      <c r="F70" s="6" t="s">
        <v>191</v>
      </c>
      <c r="G70" s="6" t="s">
        <v>316</v>
      </c>
      <c r="H70" s="6">
        <v>50.79</v>
      </c>
      <c r="I70" s="6">
        <v>47.48</v>
      </c>
      <c r="J70" s="6">
        <v>20.5</v>
      </c>
      <c r="K70" s="6">
        <v>63.4</v>
      </c>
      <c r="L70" s="6">
        <v>140.35</v>
      </c>
      <c r="Q70" s="6" t="s">
        <v>319</v>
      </c>
      <c r="R70" s="6">
        <v>3</v>
      </c>
      <c r="S70" s="6">
        <f t="shared" si="6"/>
        <v>10</v>
      </c>
      <c r="T70" s="6">
        <v>1</v>
      </c>
      <c r="U70" s="6">
        <v>9</v>
      </c>
      <c r="V70" s="6">
        <v>42.3</v>
      </c>
      <c r="W70" s="6">
        <v>23.027753608190118</v>
      </c>
      <c r="X70" s="6" t="s">
        <v>319</v>
      </c>
      <c r="Y70" s="6">
        <v>3</v>
      </c>
      <c r="Z70" s="6">
        <f t="shared" ref="Z70:Z133" si="11">AA70+AB70</f>
        <v>11</v>
      </c>
      <c r="AA70" s="6">
        <v>1</v>
      </c>
      <c r="AB70" s="6">
        <v>10</v>
      </c>
      <c r="AC70" s="6">
        <v>44.03</v>
      </c>
      <c r="AD70" s="6">
        <v>20.546452405300197</v>
      </c>
      <c r="AL70" s="6">
        <f t="shared" si="7"/>
        <v>3</v>
      </c>
      <c r="AM70" s="6">
        <f t="shared" si="8"/>
        <v>21</v>
      </c>
      <c r="AN70" s="6">
        <v>1</v>
      </c>
      <c r="AO70" s="6">
        <v>1.0022659709902535</v>
      </c>
      <c r="AQ70" s="6">
        <f t="shared" si="9"/>
        <v>1.0011329854951267</v>
      </c>
      <c r="AR70" s="6">
        <v>69.016666666666666</v>
      </c>
      <c r="AS70" s="6">
        <v>0.9375</v>
      </c>
      <c r="AT70" s="2"/>
      <c r="AU70" s="2">
        <v>376.17612051446184</v>
      </c>
      <c r="AV70" s="2">
        <f t="shared" si="10"/>
        <v>0.61510509440684003</v>
      </c>
    </row>
    <row r="71" spans="1:48" ht="15.6" x14ac:dyDescent="0.25">
      <c r="A71" s="5" t="s">
        <v>68</v>
      </c>
      <c r="B71" s="5" t="s">
        <v>168</v>
      </c>
      <c r="C71" s="6" t="s">
        <v>307</v>
      </c>
      <c r="D71" s="6" t="s">
        <v>171</v>
      </c>
      <c r="E71" s="5" t="s">
        <v>312</v>
      </c>
      <c r="F71" s="6">
        <v>0</v>
      </c>
      <c r="G71" s="6" t="s">
        <v>315</v>
      </c>
      <c r="H71" s="6">
        <v>72.53</v>
      </c>
      <c r="I71" s="6">
        <v>64.7</v>
      </c>
      <c r="J71" s="6">
        <v>20</v>
      </c>
      <c r="K71" s="6">
        <v>110.8</v>
      </c>
      <c r="L71" s="6">
        <v>210.89</v>
      </c>
      <c r="Q71" s="6" t="s">
        <v>319</v>
      </c>
      <c r="R71" s="6">
        <v>2</v>
      </c>
      <c r="S71" s="6">
        <f t="shared" si="6"/>
        <v>12</v>
      </c>
      <c r="T71" s="6">
        <v>4</v>
      </c>
      <c r="U71" s="6">
        <v>8</v>
      </c>
      <c r="V71" s="6">
        <v>50.95</v>
      </c>
      <c r="W71" s="6">
        <v>20.673237657289985</v>
      </c>
      <c r="AL71" s="6">
        <f t="shared" si="7"/>
        <v>2</v>
      </c>
      <c r="AM71" s="6">
        <f t="shared" si="8"/>
        <v>12</v>
      </c>
      <c r="AN71" s="6">
        <v>1</v>
      </c>
      <c r="AQ71" s="6">
        <f t="shared" si="9"/>
        <v>1</v>
      </c>
      <c r="AR71" s="6">
        <v>70</v>
      </c>
      <c r="AS71" s="6">
        <v>0.75</v>
      </c>
      <c r="AT71" s="2"/>
      <c r="AU71" s="2">
        <v>105.33014586389247</v>
      </c>
      <c r="AV71" s="2">
        <f t="shared" si="10"/>
        <v>0.24159514438806964</v>
      </c>
    </row>
    <row r="72" spans="1:48" ht="15.6" x14ac:dyDescent="0.25">
      <c r="A72" s="5" t="s">
        <v>69</v>
      </c>
      <c r="B72" s="5" t="s">
        <v>168</v>
      </c>
      <c r="C72" s="6" t="s">
        <v>307</v>
      </c>
      <c r="D72" s="6" t="s">
        <v>184</v>
      </c>
      <c r="E72" s="5" t="s">
        <v>313</v>
      </c>
      <c r="F72" s="6" t="s">
        <v>191</v>
      </c>
      <c r="G72" s="6" t="s">
        <v>190</v>
      </c>
      <c r="H72" s="6">
        <v>54.35</v>
      </c>
      <c r="I72" s="6">
        <v>51.02</v>
      </c>
      <c r="J72" s="6">
        <v>24.7</v>
      </c>
      <c r="K72" s="6">
        <v>64</v>
      </c>
      <c r="L72" s="6">
        <v>144.37</v>
      </c>
      <c r="Q72" s="6" t="s">
        <v>319</v>
      </c>
      <c r="R72" s="6">
        <v>4</v>
      </c>
      <c r="S72" s="6">
        <f t="shared" si="6"/>
        <v>19</v>
      </c>
      <c r="T72" s="6">
        <v>3</v>
      </c>
      <c r="U72" s="6">
        <v>16</v>
      </c>
      <c r="V72" s="6">
        <v>35.880000000000003</v>
      </c>
      <c r="W72" s="6">
        <v>24.326530830249744</v>
      </c>
      <c r="X72" s="6" t="s">
        <v>319</v>
      </c>
      <c r="Y72" s="6">
        <v>3</v>
      </c>
      <c r="Z72" s="6">
        <f t="shared" si="11"/>
        <v>7</v>
      </c>
      <c r="AA72" s="6">
        <v>1</v>
      </c>
      <c r="AB72" s="6">
        <v>6</v>
      </c>
      <c r="AC72" s="6">
        <v>31.369999999999997</v>
      </c>
      <c r="AD72" s="6">
        <v>24.283998484236491</v>
      </c>
      <c r="AL72" s="6">
        <f t="shared" si="7"/>
        <v>3.5</v>
      </c>
      <c r="AM72" s="6">
        <f t="shared" si="8"/>
        <v>26</v>
      </c>
      <c r="AN72" s="6">
        <v>0.98487979069837028</v>
      </c>
      <c r="AO72" s="6">
        <v>0.98315783336989848</v>
      </c>
      <c r="AQ72" s="6">
        <f t="shared" si="9"/>
        <v>0.98401881203413444</v>
      </c>
      <c r="AR72" s="6">
        <v>74.349999999999994</v>
      </c>
      <c r="AS72" s="6">
        <v>1</v>
      </c>
      <c r="AT72" s="2"/>
      <c r="AU72" s="2">
        <v>326.90580963991994</v>
      </c>
      <c r="AV72" s="2">
        <f t="shared" si="10"/>
        <v>0.46581699799127241</v>
      </c>
    </row>
    <row r="73" spans="1:48" ht="15.6" x14ac:dyDescent="0.25">
      <c r="A73" s="5" t="s">
        <v>70</v>
      </c>
      <c r="B73" s="5" t="s">
        <v>168</v>
      </c>
      <c r="C73" s="6" t="s">
        <v>307</v>
      </c>
      <c r="D73" s="6" t="s">
        <v>172</v>
      </c>
      <c r="E73" s="5" t="s">
        <v>312</v>
      </c>
      <c r="F73" s="6">
        <v>0</v>
      </c>
      <c r="G73" s="6" t="s">
        <v>315</v>
      </c>
      <c r="H73" s="6">
        <v>44.2</v>
      </c>
      <c r="I73" s="6">
        <v>41.34</v>
      </c>
      <c r="J73" s="6">
        <v>22.33</v>
      </c>
      <c r="K73" s="6">
        <v>42.7</v>
      </c>
      <c r="L73" s="6">
        <v>119.71</v>
      </c>
      <c r="Q73" s="6" t="s">
        <v>319</v>
      </c>
      <c r="R73" s="6">
        <v>4</v>
      </c>
      <c r="S73" s="6">
        <f t="shared" si="6"/>
        <v>16</v>
      </c>
      <c r="T73" s="6">
        <v>4</v>
      </c>
      <c r="U73" s="6">
        <v>12</v>
      </c>
      <c r="V73" s="6">
        <v>47.660000000000004</v>
      </c>
      <c r="W73" s="6">
        <v>15.914163842325291</v>
      </c>
      <c r="AL73" s="6">
        <f t="shared" si="7"/>
        <v>4</v>
      </c>
      <c r="AM73" s="6">
        <f t="shared" si="8"/>
        <v>16</v>
      </c>
      <c r="AN73" s="6">
        <v>0.71268087068183128</v>
      </c>
      <c r="AQ73" s="6">
        <f t="shared" si="9"/>
        <v>0.71268087068183128</v>
      </c>
      <c r="AR73" s="6">
        <v>70.333333333333329</v>
      </c>
      <c r="AS73" s="6">
        <v>0.75</v>
      </c>
      <c r="AT73" s="2">
        <v>0.50520507488574629</v>
      </c>
      <c r="AU73" s="2">
        <v>75.846904872522344</v>
      </c>
      <c r="AV73" s="2">
        <f t="shared" si="10"/>
        <v>0.39812881129396044</v>
      </c>
    </row>
    <row r="74" spans="1:48" ht="15.6" x14ac:dyDescent="0.25">
      <c r="A74" s="5" t="s">
        <v>71</v>
      </c>
      <c r="B74" s="5" t="s">
        <v>168</v>
      </c>
      <c r="C74" s="6" t="s">
        <v>307</v>
      </c>
      <c r="D74" s="6" t="s">
        <v>175</v>
      </c>
      <c r="E74" s="5" t="s">
        <v>313</v>
      </c>
      <c r="F74" s="6" t="s">
        <v>191</v>
      </c>
      <c r="G74" s="6" t="s">
        <v>190</v>
      </c>
      <c r="H74" s="6">
        <v>49.59</v>
      </c>
      <c r="I74" s="6">
        <v>38.06</v>
      </c>
      <c r="J74" s="6">
        <v>19.98</v>
      </c>
      <c r="K74" s="6">
        <v>42.6</v>
      </c>
      <c r="L74" s="6">
        <v>133.32</v>
      </c>
      <c r="Q74" s="6" t="s">
        <v>319</v>
      </c>
      <c r="R74" s="6">
        <v>2</v>
      </c>
      <c r="S74" s="6">
        <f t="shared" si="6"/>
        <v>7</v>
      </c>
      <c r="T74" s="6">
        <v>2</v>
      </c>
      <c r="U74" s="6">
        <v>5</v>
      </c>
      <c r="V74" s="6">
        <v>27.79</v>
      </c>
      <c r="W74" s="6">
        <v>8.2474008620335137</v>
      </c>
      <c r="X74" s="6" t="s">
        <v>319</v>
      </c>
      <c r="Y74" s="6">
        <v>2</v>
      </c>
      <c r="Z74" s="6">
        <f t="shared" si="11"/>
        <v>9</v>
      </c>
      <c r="AA74" s="6">
        <v>1</v>
      </c>
      <c r="AB74" s="6">
        <v>8</v>
      </c>
      <c r="AC74" s="6">
        <v>41.06</v>
      </c>
      <c r="AD74" s="6">
        <v>15.36766220264513</v>
      </c>
      <c r="AL74" s="6">
        <f t="shared" si="7"/>
        <v>2</v>
      </c>
      <c r="AM74" s="6">
        <f t="shared" si="8"/>
        <v>16</v>
      </c>
      <c r="AN74" s="6">
        <v>0.41278282592760329</v>
      </c>
      <c r="AO74" s="6">
        <v>0.76915226239465118</v>
      </c>
      <c r="AQ74" s="6">
        <f t="shared" si="9"/>
        <v>0.59096754416112729</v>
      </c>
      <c r="AR74" s="6">
        <v>64.666666666666657</v>
      </c>
      <c r="AS74" s="6">
        <v>0.66666666666666663</v>
      </c>
      <c r="AT74" s="2">
        <v>0.251035904858256</v>
      </c>
      <c r="AU74" s="2">
        <v>162.58970920031246</v>
      </c>
      <c r="AV74" s="2">
        <f t="shared" si="10"/>
        <v>0.51642664266426641</v>
      </c>
    </row>
    <row r="75" spans="1:48" ht="15.6" x14ac:dyDescent="0.25">
      <c r="A75" s="5" t="s">
        <v>72</v>
      </c>
      <c r="B75" s="5" t="s">
        <v>168</v>
      </c>
      <c r="C75" s="6" t="s">
        <v>307</v>
      </c>
      <c r="D75" s="6" t="s">
        <v>172</v>
      </c>
      <c r="E75" s="5" t="s">
        <v>312</v>
      </c>
      <c r="F75" s="6" t="s">
        <v>191</v>
      </c>
      <c r="G75" s="6" t="s">
        <v>190</v>
      </c>
      <c r="H75" s="6">
        <v>50.83</v>
      </c>
      <c r="I75" s="6">
        <v>43.21</v>
      </c>
      <c r="J75" s="6">
        <v>12.6</v>
      </c>
      <c r="K75" s="6">
        <v>27.9</v>
      </c>
      <c r="L75" s="6">
        <v>139.01000000000002</v>
      </c>
      <c r="Q75" s="6" t="s">
        <v>319</v>
      </c>
      <c r="R75" s="6">
        <v>3</v>
      </c>
      <c r="S75" s="6">
        <f t="shared" si="6"/>
        <v>17</v>
      </c>
      <c r="T75" s="6">
        <v>2</v>
      </c>
      <c r="U75" s="6">
        <v>15</v>
      </c>
      <c r="V75" s="6">
        <v>43.33</v>
      </c>
      <c r="W75" s="6">
        <v>13.904358261314172</v>
      </c>
      <c r="AL75" s="6">
        <f t="shared" si="7"/>
        <v>3</v>
      </c>
      <c r="AM75" s="6">
        <f t="shared" si="8"/>
        <v>17</v>
      </c>
      <c r="AN75" s="6">
        <v>1</v>
      </c>
      <c r="AQ75" s="6">
        <f t="shared" si="9"/>
        <v>1</v>
      </c>
      <c r="AR75" s="6">
        <v>65.666666666666671</v>
      </c>
      <c r="AS75" s="6">
        <v>0.7</v>
      </c>
      <c r="AT75" s="2"/>
      <c r="AU75" s="2">
        <v>60.247584346274309</v>
      </c>
      <c r="AV75" s="2">
        <f t="shared" si="10"/>
        <v>0.31170419394288174</v>
      </c>
    </row>
    <row r="76" spans="1:48" ht="15.6" x14ac:dyDescent="0.25">
      <c r="A76" s="5" t="s">
        <v>73</v>
      </c>
      <c r="B76" s="5" t="s">
        <v>168</v>
      </c>
      <c r="C76" s="6" t="s">
        <v>307</v>
      </c>
      <c r="D76" s="6" t="s">
        <v>172</v>
      </c>
      <c r="E76" s="5" t="s">
        <v>312</v>
      </c>
      <c r="F76" s="6" t="s">
        <v>189</v>
      </c>
      <c r="G76" s="6" t="s">
        <v>190</v>
      </c>
      <c r="H76" s="6">
        <v>48.7</v>
      </c>
      <c r="I76" s="6">
        <v>39.35</v>
      </c>
      <c r="J76" s="6">
        <v>16.93</v>
      </c>
      <c r="K76" s="6">
        <v>30.8</v>
      </c>
      <c r="L76" s="6">
        <v>117.26</v>
      </c>
      <c r="M76" s="6" t="s">
        <v>198</v>
      </c>
      <c r="N76" s="6">
        <v>15.1</v>
      </c>
      <c r="O76" s="6">
        <v>38.46</v>
      </c>
      <c r="P76" s="6">
        <v>139.9</v>
      </c>
      <c r="Q76" s="6" t="s">
        <v>319</v>
      </c>
      <c r="R76" s="6">
        <v>3</v>
      </c>
      <c r="S76" s="6">
        <f t="shared" si="6"/>
        <v>24</v>
      </c>
      <c r="T76" s="6">
        <v>6</v>
      </c>
      <c r="U76" s="6">
        <v>18</v>
      </c>
      <c r="V76" s="6">
        <v>41.08</v>
      </c>
      <c r="W76" s="6">
        <v>8.7615300382978507</v>
      </c>
      <c r="AL76" s="6">
        <f t="shared" si="7"/>
        <v>3</v>
      </c>
      <c r="AM76" s="6">
        <f t="shared" si="8"/>
        <v>24</v>
      </c>
      <c r="AN76" s="6">
        <v>0.51751506428221206</v>
      </c>
      <c r="AQ76" s="6">
        <f t="shared" si="9"/>
        <v>0.51751506428221206</v>
      </c>
      <c r="AR76" s="6">
        <v>73.666666666666671</v>
      </c>
      <c r="AS76" s="6">
        <v>0.5</v>
      </c>
      <c r="AT76" s="2">
        <v>0.17032421410835183</v>
      </c>
      <c r="AU76" s="2">
        <v>35.992365397327568</v>
      </c>
      <c r="AV76" s="2">
        <f t="shared" si="10"/>
        <v>0.35033259423503321</v>
      </c>
    </row>
    <row r="77" spans="1:48" ht="15.6" x14ac:dyDescent="0.25">
      <c r="A77" s="5" t="s">
        <v>74</v>
      </c>
      <c r="B77" s="5" t="s">
        <v>168</v>
      </c>
      <c r="C77" s="6" t="s">
        <v>307</v>
      </c>
      <c r="D77" s="6" t="s">
        <v>185</v>
      </c>
      <c r="E77" s="5" t="s">
        <v>313</v>
      </c>
      <c r="F77" s="6">
        <v>0</v>
      </c>
      <c r="G77" s="6" t="s">
        <v>315</v>
      </c>
      <c r="H77" s="6">
        <v>57.27</v>
      </c>
      <c r="I77" s="6">
        <v>50.38</v>
      </c>
      <c r="J77" s="6">
        <v>26.16</v>
      </c>
      <c r="K77" s="6">
        <v>83.3</v>
      </c>
      <c r="L77" s="6">
        <v>161.12</v>
      </c>
      <c r="M77" s="6" t="s">
        <v>198</v>
      </c>
      <c r="N77" s="6">
        <v>19.91</v>
      </c>
      <c r="O77" s="6">
        <v>45.46</v>
      </c>
      <c r="P77" s="6">
        <v>133.1</v>
      </c>
      <c r="Q77" s="6" t="s">
        <v>319</v>
      </c>
      <c r="R77" s="6">
        <v>3</v>
      </c>
      <c r="S77" s="6">
        <f t="shared" si="6"/>
        <v>9</v>
      </c>
      <c r="T77" s="6">
        <v>1</v>
      </c>
      <c r="U77" s="6">
        <v>8</v>
      </c>
      <c r="V77" s="6">
        <v>39.46</v>
      </c>
      <c r="W77" s="6">
        <v>25.520840608084626</v>
      </c>
      <c r="X77" s="6" t="s">
        <v>319</v>
      </c>
      <c r="Y77" s="6">
        <v>4</v>
      </c>
      <c r="Z77" s="6">
        <f t="shared" si="11"/>
        <v>18</v>
      </c>
      <c r="AA77" s="6">
        <v>4</v>
      </c>
      <c r="AB77" s="6">
        <v>14</v>
      </c>
      <c r="AC77" s="6">
        <v>62.33</v>
      </c>
      <c r="AD77" s="6">
        <v>25.035415730972346</v>
      </c>
      <c r="AL77" s="6">
        <f t="shared" si="7"/>
        <v>3.5</v>
      </c>
      <c r="AM77" s="6">
        <f t="shared" si="8"/>
        <v>27</v>
      </c>
      <c r="AN77" s="6">
        <v>0.97556730153228688</v>
      </c>
      <c r="AO77" s="6">
        <v>0.95701130470077778</v>
      </c>
      <c r="AQ77" s="6">
        <f t="shared" si="9"/>
        <v>0.96628930311653227</v>
      </c>
      <c r="AR77" s="6">
        <v>78.016666666666666</v>
      </c>
      <c r="AS77" s="6">
        <v>0.75</v>
      </c>
      <c r="AT77" s="2"/>
      <c r="AU77" s="2">
        <v>514.61213327526082</v>
      </c>
      <c r="AV77" s="2">
        <f t="shared" si="10"/>
        <v>0.63176514399205552</v>
      </c>
    </row>
    <row r="78" spans="1:48" ht="15.6" x14ac:dyDescent="0.25">
      <c r="A78" s="5" t="s">
        <v>75</v>
      </c>
      <c r="B78" s="5" t="s">
        <v>168</v>
      </c>
      <c r="C78" s="6" t="s">
        <v>307</v>
      </c>
      <c r="D78" s="6" t="s">
        <v>185</v>
      </c>
      <c r="E78" s="5" t="s">
        <v>313</v>
      </c>
      <c r="F78" s="6" t="s">
        <v>193</v>
      </c>
      <c r="G78" s="6" t="s">
        <v>318</v>
      </c>
      <c r="H78" s="6">
        <v>47.5</v>
      </c>
      <c r="I78" s="6">
        <v>44</v>
      </c>
      <c r="J78" s="6">
        <v>11</v>
      </c>
      <c r="K78" s="6">
        <v>22.8</v>
      </c>
      <c r="L78" s="6">
        <v>135.1</v>
      </c>
      <c r="M78" s="6" t="s">
        <v>198</v>
      </c>
      <c r="N78" s="6">
        <v>13.24</v>
      </c>
      <c r="O78" s="6">
        <v>38.369999999999997</v>
      </c>
      <c r="P78" s="6">
        <v>133.19999999999999</v>
      </c>
      <c r="Q78" s="6" t="s">
        <v>319</v>
      </c>
      <c r="R78" s="6">
        <v>2</v>
      </c>
      <c r="S78" s="6">
        <f t="shared" si="6"/>
        <v>16</v>
      </c>
      <c r="T78" s="6">
        <v>5</v>
      </c>
      <c r="U78" s="6">
        <v>11</v>
      </c>
      <c r="V78" s="6">
        <v>32.1</v>
      </c>
      <c r="W78" s="6">
        <v>5.959822514817577</v>
      </c>
      <c r="X78" s="6" t="s">
        <v>319</v>
      </c>
      <c r="Y78" s="6">
        <v>2</v>
      </c>
      <c r="Z78" s="6">
        <f t="shared" si="11"/>
        <v>11</v>
      </c>
      <c r="AA78" s="6">
        <v>5</v>
      </c>
      <c r="AB78" s="6">
        <v>6</v>
      </c>
      <c r="AC78" s="6">
        <v>29.49</v>
      </c>
      <c r="AD78" s="6">
        <v>8.61603099009319</v>
      </c>
      <c r="AL78" s="6">
        <f t="shared" si="7"/>
        <v>2</v>
      </c>
      <c r="AM78" s="6">
        <f t="shared" si="8"/>
        <v>27</v>
      </c>
      <c r="AN78" s="6">
        <v>0.54180204680159794</v>
      </c>
      <c r="AO78" s="6">
        <v>0.78327554455392634</v>
      </c>
      <c r="AQ78" s="6">
        <f t="shared" si="9"/>
        <v>0.66253879567776219</v>
      </c>
      <c r="AR78" s="6">
        <v>64</v>
      </c>
      <c r="AS78" s="6">
        <v>0.7</v>
      </c>
      <c r="AT78" s="2">
        <v>0.2669042052365343</v>
      </c>
      <c r="AU78" s="2">
        <v>89.772681736745426</v>
      </c>
      <c r="AV78" s="2">
        <f t="shared" si="10"/>
        <v>0.45588452997779427</v>
      </c>
    </row>
    <row r="79" spans="1:48" ht="15.6" x14ac:dyDescent="0.25">
      <c r="A79" s="5" t="s">
        <v>76</v>
      </c>
      <c r="B79" s="5" t="s">
        <v>168</v>
      </c>
      <c r="C79" s="6" t="s">
        <v>307</v>
      </c>
      <c r="D79" s="6" t="s">
        <v>172</v>
      </c>
      <c r="E79" s="5" t="s">
        <v>312</v>
      </c>
      <c r="F79" s="6" t="s">
        <v>189</v>
      </c>
      <c r="G79" s="6" t="s">
        <v>317</v>
      </c>
      <c r="H79" s="6">
        <v>65.400000000000006</v>
      </c>
      <c r="I79" s="6">
        <v>32.700000000000003</v>
      </c>
      <c r="J79" s="6">
        <v>19.399999999999999</v>
      </c>
      <c r="K79" s="6">
        <v>51.4</v>
      </c>
      <c r="L79" s="6">
        <v>147.79000000000002</v>
      </c>
      <c r="Q79" s="6" t="s">
        <v>319</v>
      </c>
      <c r="R79" s="6">
        <v>2</v>
      </c>
      <c r="S79" s="6">
        <f t="shared" si="6"/>
        <v>9</v>
      </c>
      <c r="T79" s="6">
        <v>3</v>
      </c>
      <c r="U79" s="6">
        <v>6</v>
      </c>
      <c r="V79" s="6">
        <v>67.13</v>
      </c>
      <c r="W79" s="6">
        <v>12.202448686088331</v>
      </c>
      <c r="AL79" s="6">
        <f t="shared" si="7"/>
        <v>2</v>
      </c>
      <c r="AM79" s="6">
        <f t="shared" si="8"/>
        <v>9</v>
      </c>
      <c r="AN79" s="6">
        <v>0.62899220031383152</v>
      </c>
      <c r="AQ79" s="6">
        <f t="shared" si="9"/>
        <v>0.62899220031383152</v>
      </c>
      <c r="AR79" s="6">
        <v>73</v>
      </c>
      <c r="AS79" s="6">
        <v>0.5</v>
      </c>
      <c r="AT79" s="2">
        <v>0.18429246502349414</v>
      </c>
      <c r="AU79" s="2">
        <v>81.915038029710971</v>
      </c>
      <c r="AV79" s="2">
        <f t="shared" si="10"/>
        <v>0.45422559036470661</v>
      </c>
    </row>
    <row r="80" spans="1:48" ht="15.6" x14ac:dyDescent="0.25">
      <c r="A80" s="5" t="s">
        <v>77</v>
      </c>
      <c r="B80" s="5" t="s">
        <v>168</v>
      </c>
      <c r="C80" s="6" t="s">
        <v>307</v>
      </c>
      <c r="D80" s="6" t="s">
        <v>171</v>
      </c>
      <c r="E80" s="5" t="s">
        <v>312</v>
      </c>
      <c r="F80" s="6" t="s">
        <v>191</v>
      </c>
      <c r="G80" s="6" t="s">
        <v>316</v>
      </c>
      <c r="H80" s="6">
        <v>41.66</v>
      </c>
      <c r="I80" s="6">
        <v>41.2</v>
      </c>
      <c r="J80" s="6">
        <v>13.1</v>
      </c>
      <c r="K80" s="6">
        <v>29</v>
      </c>
      <c r="L80" s="6">
        <v>123.41999999999999</v>
      </c>
      <c r="Q80" s="6" t="s">
        <v>319</v>
      </c>
      <c r="R80" s="6">
        <v>2</v>
      </c>
      <c r="S80" s="6">
        <f t="shared" si="6"/>
        <v>10</v>
      </c>
      <c r="T80" s="6">
        <v>4</v>
      </c>
      <c r="U80" s="6">
        <v>6</v>
      </c>
      <c r="V80" s="6">
        <v>42.6</v>
      </c>
      <c r="W80" s="6">
        <v>12.97251170051457</v>
      </c>
      <c r="AL80" s="6">
        <f t="shared" si="7"/>
        <v>2</v>
      </c>
      <c r="AM80" s="6">
        <f t="shared" si="8"/>
        <v>10</v>
      </c>
      <c r="AN80" s="6">
        <v>0.99026806874157025</v>
      </c>
      <c r="AQ80" s="6">
        <f t="shared" si="9"/>
        <v>0.99026806874157025</v>
      </c>
      <c r="AR80" s="6">
        <v>82</v>
      </c>
      <c r="AS80" s="6">
        <v>0.5</v>
      </c>
      <c r="AT80" s="2"/>
      <c r="AU80" s="2">
        <v>55.262899844192063</v>
      </c>
      <c r="AV80" s="2">
        <f t="shared" si="10"/>
        <v>0.34516285853184253</v>
      </c>
    </row>
    <row r="81" spans="1:48" ht="15.6" x14ac:dyDescent="0.25">
      <c r="A81" s="5" t="s">
        <v>78</v>
      </c>
      <c r="B81" s="5" t="s">
        <v>168</v>
      </c>
      <c r="C81" s="6" t="s">
        <v>307</v>
      </c>
      <c r="D81" s="6" t="s">
        <v>170</v>
      </c>
      <c r="E81" s="5" t="s">
        <v>312</v>
      </c>
      <c r="F81" s="6" t="s">
        <v>189</v>
      </c>
      <c r="G81" s="6" t="s">
        <v>317</v>
      </c>
      <c r="H81" s="6">
        <v>57.47</v>
      </c>
      <c r="I81" s="6">
        <v>50.6</v>
      </c>
      <c r="J81" s="6">
        <v>19.78</v>
      </c>
      <c r="K81" s="6">
        <v>57.5</v>
      </c>
      <c r="L81" s="6">
        <v>153.11000000000001</v>
      </c>
      <c r="M81" s="6" t="s">
        <v>196</v>
      </c>
      <c r="N81" s="6">
        <v>22.29</v>
      </c>
      <c r="O81" s="6">
        <v>28.7</v>
      </c>
      <c r="P81" s="6">
        <v>116.25</v>
      </c>
      <c r="Q81" s="6" t="s">
        <v>319</v>
      </c>
      <c r="R81" s="6">
        <v>2</v>
      </c>
      <c r="S81" s="6">
        <f t="shared" si="6"/>
        <v>10</v>
      </c>
      <c r="T81" s="6">
        <v>4</v>
      </c>
      <c r="U81" s="6">
        <v>6</v>
      </c>
      <c r="V81" s="6">
        <v>82.13</v>
      </c>
      <c r="W81" s="6">
        <v>13.510982849600779</v>
      </c>
      <c r="AL81" s="6">
        <f t="shared" si="7"/>
        <v>2</v>
      </c>
      <c r="AM81" s="6">
        <f t="shared" si="8"/>
        <v>10</v>
      </c>
      <c r="AN81" s="6">
        <v>0.68306283365019105</v>
      </c>
      <c r="AQ81" s="6">
        <f t="shared" si="9"/>
        <v>0.68306283365019105</v>
      </c>
      <c r="AR81" s="6">
        <v>57</v>
      </c>
      <c r="AS81" s="6">
        <v>0.8</v>
      </c>
      <c r="AT81" s="2">
        <v>0.32216283279014885</v>
      </c>
      <c r="AU81" s="2">
        <v>110.96570214377121</v>
      </c>
      <c r="AV81" s="2">
        <f t="shared" si="10"/>
        <v>0.53641173012866561</v>
      </c>
    </row>
    <row r="82" spans="1:48" ht="15.6" x14ac:dyDescent="0.25">
      <c r="A82" s="5" t="s">
        <v>79</v>
      </c>
      <c r="B82" s="5" t="s">
        <v>168</v>
      </c>
      <c r="C82" s="6" t="s">
        <v>307</v>
      </c>
      <c r="D82" s="6" t="s">
        <v>182</v>
      </c>
      <c r="E82" s="5" t="s">
        <v>313</v>
      </c>
      <c r="F82" s="6">
        <v>0</v>
      </c>
      <c r="G82" s="6" t="s">
        <v>315</v>
      </c>
      <c r="H82" s="6">
        <v>44.6</v>
      </c>
      <c r="I82" s="6">
        <v>35.28</v>
      </c>
      <c r="J82" s="6">
        <v>19.399999999999999</v>
      </c>
      <c r="K82" s="6">
        <v>32.4</v>
      </c>
      <c r="L82" s="6">
        <v>118.35</v>
      </c>
      <c r="Q82" s="6" t="s">
        <v>319</v>
      </c>
      <c r="R82" s="6">
        <v>2</v>
      </c>
      <c r="S82" s="6">
        <f t="shared" si="6"/>
        <v>14</v>
      </c>
      <c r="T82" s="6">
        <v>4</v>
      </c>
      <c r="U82" s="6">
        <v>10</v>
      </c>
      <c r="V82" s="6">
        <v>37.520000000000003</v>
      </c>
      <c r="W82" s="6">
        <v>19.655506385712442</v>
      </c>
      <c r="X82" s="6" t="s">
        <v>319</v>
      </c>
      <c r="Y82" s="6">
        <v>2</v>
      </c>
      <c r="Z82" s="6">
        <f t="shared" si="11"/>
        <v>7</v>
      </c>
      <c r="AA82" s="6">
        <v>3</v>
      </c>
      <c r="AB82" s="6">
        <v>4</v>
      </c>
      <c r="AC82" s="6">
        <v>35.28</v>
      </c>
      <c r="AD82" s="6">
        <v>10.609752109785402</v>
      </c>
      <c r="AL82" s="6">
        <f t="shared" si="7"/>
        <v>2</v>
      </c>
      <c r="AM82" s="6">
        <f t="shared" si="8"/>
        <v>21</v>
      </c>
      <c r="AN82" s="6">
        <v>1</v>
      </c>
      <c r="AO82" s="6">
        <v>0.54689443864873211</v>
      </c>
      <c r="AQ82" s="6">
        <f t="shared" si="9"/>
        <v>0.773447219324366</v>
      </c>
      <c r="AR82" s="6">
        <v>69.183333333333337</v>
      </c>
      <c r="AS82" s="6">
        <v>0.875</v>
      </c>
      <c r="AT82" s="2"/>
      <c r="AU82" s="2">
        <v>220.33108184722437</v>
      </c>
      <c r="AV82" s="2">
        <f t="shared" si="10"/>
        <v>0.61512463033375597</v>
      </c>
    </row>
    <row r="83" spans="1:48" ht="15.6" x14ac:dyDescent="0.25">
      <c r="A83" s="5" t="s">
        <v>80</v>
      </c>
      <c r="B83" s="5" t="s">
        <v>168</v>
      </c>
      <c r="C83" s="6" t="s">
        <v>307</v>
      </c>
      <c r="D83" s="6" t="s">
        <v>185</v>
      </c>
      <c r="E83" s="5" t="s">
        <v>313</v>
      </c>
      <c r="F83" s="6">
        <v>0</v>
      </c>
      <c r="G83" s="6" t="s">
        <v>315</v>
      </c>
      <c r="H83" s="6">
        <v>38.9</v>
      </c>
      <c r="I83" s="6">
        <v>27</v>
      </c>
      <c r="J83" s="6">
        <v>16.12</v>
      </c>
      <c r="K83" s="6">
        <v>17.2</v>
      </c>
      <c r="L83" s="6">
        <v>101.85999999999999</v>
      </c>
      <c r="Q83" s="6" t="s">
        <v>319</v>
      </c>
      <c r="R83" s="6">
        <v>3</v>
      </c>
      <c r="S83" s="6">
        <f t="shared" si="6"/>
        <v>11</v>
      </c>
      <c r="T83" s="6">
        <v>3</v>
      </c>
      <c r="U83" s="6">
        <v>8</v>
      </c>
      <c r="V83" s="6">
        <v>33.4</v>
      </c>
      <c r="W83" s="6">
        <v>18.958689494227176</v>
      </c>
      <c r="X83" s="6" t="s">
        <v>319</v>
      </c>
      <c r="Y83" s="6">
        <v>3</v>
      </c>
      <c r="Z83" s="6">
        <f t="shared" si="11"/>
        <v>11</v>
      </c>
      <c r="AA83" s="6">
        <v>2</v>
      </c>
      <c r="AB83" s="6">
        <v>9</v>
      </c>
      <c r="AC83" s="6">
        <v>30.5</v>
      </c>
      <c r="AD83" s="6">
        <v>13.705177957783425</v>
      </c>
      <c r="AL83" s="6">
        <f t="shared" si="7"/>
        <v>3</v>
      </c>
      <c r="AM83" s="6">
        <f t="shared" si="8"/>
        <v>22</v>
      </c>
      <c r="AN83" s="6">
        <v>1</v>
      </c>
      <c r="AO83" s="6">
        <v>0.85019714378309086</v>
      </c>
      <c r="AQ83" s="6">
        <f t="shared" si="9"/>
        <v>0.92509857189154543</v>
      </c>
      <c r="AR83" s="6">
        <v>68.516666666666666</v>
      </c>
      <c r="AS83" s="6">
        <v>1</v>
      </c>
      <c r="AT83" s="2"/>
      <c r="AU83" s="2">
        <v>208.72211301834773</v>
      </c>
      <c r="AV83" s="2">
        <f t="shared" si="10"/>
        <v>0.62733163165128614</v>
      </c>
    </row>
    <row r="84" spans="1:48" ht="15.6" x14ac:dyDescent="0.25">
      <c r="A84" s="5" t="s">
        <v>81</v>
      </c>
      <c r="B84" s="5" t="s">
        <v>168</v>
      </c>
      <c r="C84" s="6" t="s">
        <v>307</v>
      </c>
      <c r="D84" s="6" t="s">
        <v>171</v>
      </c>
      <c r="E84" s="5" t="s">
        <v>312</v>
      </c>
      <c r="F84" s="6">
        <v>0</v>
      </c>
      <c r="G84" s="6" t="s">
        <v>315</v>
      </c>
      <c r="H84" s="6">
        <v>102.28</v>
      </c>
      <c r="I84" s="6">
        <v>74.099999999999994</v>
      </c>
      <c r="J84" s="6">
        <v>36.799999999999997</v>
      </c>
      <c r="K84" s="6">
        <v>244.9</v>
      </c>
      <c r="L84" s="6">
        <v>288.97999999999996</v>
      </c>
      <c r="Q84" s="6" t="s">
        <v>319</v>
      </c>
      <c r="R84" s="6">
        <v>2</v>
      </c>
      <c r="S84" s="6">
        <f t="shared" si="6"/>
        <v>11</v>
      </c>
      <c r="T84" s="6">
        <v>1</v>
      </c>
      <c r="U84" s="6">
        <v>10</v>
      </c>
      <c r="V84" s="6">
        <v>105.76</v>
      </c>
      <c r="W84" s="6">
        <v>16.493832990870189</v>
      </c>
      <c r="AL84" s="6">
        <f t="shared" si="7"/>
        <v>2</v>
      </c>
      <c r="AM84" s="6">
        <f t="shared" si="8"/>
        <v>11</v>
      </c>
      <c r="AN84" s="6">
        <v>0.44820198344755952</v>
      </c>
      <c r="AQ84" s="6">
        <f t="shared" si="9"/>
        <v>0.44820198344755952</v>
      </c>
      <c r="AR84" s="6">
        <v>65.333333333333329</v>
      </c>
      <c r="AS84" s="6">
        <v>0.5</v>
      </c>
      <c r="AT84" s="2">
        <v>7.6504414213284189E-2</v>
      </c>
      <c r="AU84" s="2">
        <v>174.43877771144312</v>
      </c>
      <c r="AV84" s="2">
        <f t="shared" si="10"/>
        <v>0.36597688421344043</v>
      </c>
    </row>
    <row r="85" spans="1:48" ht="15.6" x14ac:dyDescent="0.25">
      <c r="A85" s="5" t="s">
        <v>82</v>
      </c>
      <c r="B85" s="5" t="s">
        <v>168</v>
      </c>
      <c r="C85" s="6" t="s">
        <v>307</v>
      </c>
      <c r="D85" s="6" t="s">
        <v>310</v>
      </c>
      <c r="E85" s="5" t="s">
        <v>312</v>
      </c>
      <c r="F85" s="6">
        <v>0</v>
      </c>
      <c r="G85" s="6" t="s">
        <v>315</v>
      </c>
      <c r="H85" s="6">
        <v>68.150000000000006</v>
      </c>
      <c r="I85" s="6">
        <v>57.35</v>
      </c>
      <c r="J85" s="6">
        <v>24.9</v>
      </c>
      <c r="K85" s="6">
        <v>89.7</v>
      </c>
      <c r="L85" s="6">
        <v>183.54</v>
      </c>
      <c r="Q85" s="6" t="s">
        <v>320</v>
      </c>
      <c r="R85" s="6">
        <v>2</v>
      </c>
      <c r="S85" s="6">
        <f t="shared" si="6"/>
        <v>13</v>
      </c>
      <c r="T85" s="6">
        <v>4</v>
      </c>
      <c r="U85" s="6">
        <v>9</v>
      </c>
      <c r="V85" s="6">
        <v>94.85</v>
      </c>
      <c r="W85" s="6">
        <v>19.236627439141742</v>
      </c>
      <c r="AL85" s="6">
        <f t="shared" si="7"/>
        <v>2</v>
      </c>
      <c r="AM85" s="6">
        <f t="shared" si="8"/>
        <v>13</v>
      </c>
      <c r="AN85" s="6">
        <v>0.7725553188410339</v>
      </c>
      <c r="AQ85" s="6">
        <f t="shared" si="9"/>
        <v>0.7725553188410339</v>
      </c>
      <c r="AR85" s="6">
        <v>66.666666666666671</v>
      </c>
      <c r="AS85" s="6">
        <v>0.5</v>
      </c>
      <c r="AT85" s="2">
        <v>0.39787196978821193</v>
      </c>
      <c r="AU85" s="2">
        <v>182.4594112602594</v>
      </c>
      <c r="AV85" s="2">
        <f t="shared" si="10"/>
        <v>0.51678108314263915</v>
      </c>
    </row>
    <row r="86" spans="1:48" ht="15.6" x14ac:dyDescent="0.25">
      <c r="A86" s="5" t="s">
        <v>83</v>
      </c>
      <c r="B86" s="5" t="s">
        <v>265</v>
      </c>
      <c r="C86" s="6" t="s">
        <v>307</v>
      </c>
      <c r="D86" s="6" t="s">
        <v>172</v>
      </c>
      <c r="E86" s="5" t="s">
        <v>312</v>
      </c>
      <c r="F86" s="6">
        <v>0</v>
      </c>
      <c r="G86" s="6" t="s">
        <v>315</v>
      </c>
      <c r="H86" s="6">
        <v>52.66</v>
      </c>
      <c r="I86" s="6">
        <v>48.2</v>
      </c>
      <c r="J86" s="6">
        <v>29.64</v>
      </c>
      <c r="K86" s="6">
        <v>58.8</v>
      </c>
      <c r="L86" s="6">
        <v>141.04000000000002</v>
      </c>
      <c r="Q86" s="6" t="s">
        <v>319</v>
      </c>
      <c r="R86" s="6">
        <v>2</v>
      </c>
      <c r="S86" s="6">
        <f t="shared" si="6"/>
        <v>9</v>
      </c>
      <c r="T86" s="6">
        <v>3</v>
      </c>
      <c r="U86" s="6">
        <v>6</v>
      </c>
      <c r="V86" s="6">
        <v>57.62</v>
      </c>
      <c r="W86" s="6">
        <v>19.63254054252539</v>
      </c>
      <c r="AL86" s="6">
        <f t="shared" si="7"/>
        <v>2</v>
      </c>
      <c r="AM86" s="6">
        <f t="shared" si="8"/>
        <v>9</v>
      </c>
      <c r="AN86" s="6">
        <v>0.66236641506495919</v>
      </c>
      <c r="AQ86" s="6">
        <f t="shared" si="9"/>
        <v>0.66236641506495919</v>
      </c>
      <c r="AR86" s="6">
        <v>62.666666666666664</v>
      </c>
      <c r="AS86" s="6">
        <v>0.7</v>
      </c>
      <c r="AT86" s="2">
        <v>0.36020636257223215</v>
      </c>
      <c r="AU86" s="2">
        <v>113.12269860603131</v>
      </c>
      <c r="AV86" s="2">
        <f t="shared" si="10"/>
        <v>0.40853658536585358</v>
      </c>
    </row>
    <row r="87" spans="1:48" ht="15.6" x14ac:dyDescent="0.25">
      <c r="A87" s="5" t="s">
        <v>84</v>
      </c>
      <c r="B87" s="5" t="s">
        <v>168</v>
      </c>
      <c r="C87" s="6" t="s">
        <v>307</v>
      </c>
      <c r="D87" s="6" t="s">
        <v>175</v>
      </c>
      <c r="E87" s="5" t="s">
        <v>313</v>
      </c>
      <c r="F87" s="6" t="s">
        <v>193</v>
      </c>
      <c r="G87" s="6" t="s">
        <v>318</v>
      </c>
      <c r="H87" s="6">
        <v>49.48</v>
      </c>
      <c r="I87" s="6">
        <v>32.35</v>
      </c>
      <c r="J87" s="6">
        <v>12.66</v>
      </c>
      <c r="K87" s="6">
        <v>24.5</v>
      </c>
      <c r="L87" s="6">
        <v>125.63</v>
      </c>
      <c r="Q87" s="6" t="s">
        <v>319</v>
      </c>
      <c r="R87" s="6">
        <v>3</v>
      </c>
      <c r="S87" s="6">
        <f t="shared" si="6"/>
        <v>13</v>
      </c>
      <c r="T87" s="6">
        <v>3</v>
      </c>
      <c r="U87" s="6">
        <v>10</v>
      </c>
      <c r="V87" s="6">
        <v>41.1</v>
      </c>
      <c r="W87" s="6">
        <v>11.808498988778878</v>
      </c>
      <c r="X87" s="6" t="s">
        <v>320</v>
      </c>
      <c r="Y87" s="6">
        <v>3</v>
      </c>
      <c r="Z87" s="6">
        <f t="shared" si="11"/>
        <v>14</v>
      </c>
      <c r="AA87" s="6">
        <v>3</v>
      </c>
      <c r="AB87" s="6">
        <v>11</v>
      </c>
      <c r="AC87" s="6">
        <v>27.05</v>
      </c>
      <c r="AD87" s="6">
        <v>8.8067770960057192</v>
      </c>
      <c r="AL87" s="6">
        <f t="shared" si="7"/>
        <v>3</v>
      </c>
      <c r="AM87" s="6">
        <f t="shared" si="8"/>
        <v>27</v>
      </c>
      <c r="AN87" s="6">
        <v>0.93274083639643579</v>
      </c>
      <c r="AO87" s="6">
        <v>0.69563800126427477</v>
      </c>
      <c r="AQ87" s="6">
        <f t="shared" si="9"/>
        <v>0.81418941883035534</v>
      </c>
      <c r="AR87" s="6">
        <v>72.849999999999994</v>
      </c>
      <c r="AS87" s="6">
        <v>0.5</v>
      </c>
      <c r="AT87" s="2"/>
      <c r="AU87" s="2">
        <v>140.49310651780704</v>
      </c>
      <c r="AV87" s="2">
        <f t="shared" si="10"/>
        <v>0.54246597150362186</v>
      </c>
    </row>
    <row r="88" spans="1:48" ht="15.6" x14ac:dyDescent="0.25">
      <c r="A88" s="5" t="s">
        <v>85</v>
      </c>
      <c r="B88" s="5" t="s">
        <v>168</v>
      </c>
      <c r="C88" s="6" t="s">
        <v>307</v>
      </c>
      <c r="D88" s="6" t="s">
        <v>171</v>
      </c>
      <c r="E88" s="5" t="s">
        <v>312</v>
      </c>
      <c r="F88" s="6">
        <v>0</v>
      </c>
      <c r="G88" s="6" t="s">
        <v>315</v>
      </c>
      <c r="H88" s="6">
        <v>53.9</v>
      </c>
      <c r="I88" s="6">
        <v>33.1</v>
      </c>
      <c r="J88" s="6">
        <v>27.38</v>
      </c>
      <c r="K88" s="6">
        <v>35.9</v>
      </c>
      <c r="L88" s="6">
        <v>144.91</v>
      </c>
      <c r="M88" s="6" t="s">
        <v>196</v>
      </c>
      <c r="N88" s="6">
        <v>21.08</v>
      </c>
      <c r="O88" s="6">
        <v>33.86</v>
      </c>
      <c r="P88" s="6">
        <v>136.9</v>
      </c>
      <c r="Q88" s="6" t="s">
        <v>319</v>
      </c>
      <c r="R88" s="6">
        <v>4</v>
      </c>
      <c r="S88" s="6">
        <f t="shared" si="6"/>
        <v>18</v>
      </c>
      <c r="T88" s="6">
        <v>6</v>
      </c>
      <c r="U88" s="6">
        <v>12</v>
      </c>
      <c r="V88" s="6">
        <v>51.37</v>
      </c>
      <c r="W88" s="6">
        <v>27.090609082310138</v>
      </c>
      <c r="AL88" s="6">
        <f t="shared" si="7"/>
        <v>4</v>
      </c>
      <c r="AM88" s="6">
        <f t="shared" si="8"/>
        <v>18</v>
      </c>
      <c r="AN88" s="6">
        <v>0.98943057276516211</v>
      </c>
      <c r="AQ88" s="6">
        <f t="shared" si="9"/>
        <v>0.98943057276516211</v>
      </c>
      <c r="AR88" s="6">
        <v>56.333333333333336</v>
      </c>
      <c r="AS88" s="6">
        <v>1</v>
      </c>
      <c r="AT88" s="2"/>
      <c r="AU88" s="2">
        <v>139.16445885582715</v>
      </c>
      <c r="AV88" s="2">
        <f t="shared" si="10"/>
        <v>0.35449589400317438</v>
      </c>
    </row>
    <row r="89" spans="1:48" ht="15.6" x14ac:dyDescent="0.25">
      <c r="A89" s="5" t="s">
        <v>86</v>
      </c>
      <c r="B89" s="5" t="s">
        <v>168</v>
      </c>
      <c r="C89" s="6" t="s">
        <v>307</v>
      </c>
      <c r="D89" s="6" t="s">
        <v>172</v>
      </c>
      <c r="E89" s="5" t="s">
        <v>312</v>
      </c>
      <c r="F89" s="6">
        <v>0</v>
      </c>
      <c r="G89" s="6" t="s">
        <v>315</v>
      </c>
      <c r="H89" s="6">
        <v>46.9</v>
      </c>
      <c r="I89" s="6">
        <v>34.090000000000003</v>
      </c>
      <c r="J89" s="6">
        <v>16.899999999999999</v>
      </c>
      <c r="K89" s="6">
        <v>31.6</v>
      </c>
      <c r="L89" s="6">
        <v>134.49</v>
      </c>
      <c r="Q89" s="6" t="s">
        <v>319</v>
      </c>
      <c r="R89" s="6">
        <v>2</v>
      </c>
      <c r="S89" s="6">
        <f t="shared" si="6"/>
        <v>15</v>
      </c>
      <c r="T89" s="6">
        <v>7</v>
      </c>
      <c r="U89" s="6">
        <v>8</v>
      </c>
      <c r="V89" s="6">
        <v>69.7</v>
      </c>
      <c r="W89" s="6">
        <v>20.219226588887881</v>
      </c>
      <c r="AL89" s="6">
        <f t="shared" si="7"/>
        <v>2</v>
      </c>
      <c r="AM89" s="6">
        <f t="shared" si="8"/>
        <v>15</v>
      </c>
      <c r="AN89" s="6">
        <v>1</v>
      </c>
      <c r="AQ89" s="6">
        <f t="shared" si="9"/>
        <v>1</v>
      </c>
      <c r="AR89" s="6">
        <v>72.333333333333329</v>
      </c>
      <c r="AS89" s="6">
        <v>0.75</v>
      </c>
      <c r="AT89" s="2"/>
      <c r="AU89" s="2">
        <v>140.92800932454855</v>
      </c>
      <c r="AV89" s="2">
        <f t="shared" si="10"/>
        <v>0.51825414528961256</v>
      </c>
    </row>
    <row r="90" spans="1:48" ht="15.6" x14ac:dyDescent="0.25">
      <c r="A90" s="5" t="s">
        <v>87</v>
      </c>
      <c r="B90" s="5" t="s">
        <v>168</v>
      </c>
      <c r="C90" s="6" t="s">
        <v>307</v>
      </c>
      <c r="D90" s="6" t="s">
        <v>172</v>
      </c>
      <c r="E90" s="5" t="s">
        <v>312</v>
      </c>
      <c r="F90" s="6" t="s">
        <v>189</v>
      </c>
      <c r="G90" s="6" t="s">
        <v>317</v>
      </c>
      <c r="H90" s="6">
        <v>43.97</v>
      </c>
      <c r="I90" s="6">
        <v>27.06</v>
      </c>
      <c r="J90" s="6">
        <v>14.65</v>
      </c>
      <c r="K90" s="6">
        <v>13.8</v>
      </c>
      <c r="L90" s="6">
        <v>109.05999999999999</v>
      </c>
      <c r="Q90" s="6" t="s">
        <v>319</v>
      </c>
      <c r="R90" s="6">
        <v>3</v>
      </c>
      <c r="S90" s="6">
        <f t="shared" si="6"/>
        <v>14</v>
      </c>
      <c r="T90" s="6">
        <v>3</v>
      </c>
      <c r="U90" s="6">
        <v>11</v>
      </c>
      <c r="V90" s="6">
        <v>40.01</v>
      </c>
      <c r="W90" s="6">
        <v>9.5901917683953588</v>
      </c>
      <c r="AL90" s="6">
        <f t="shared" si="7"/>
        <v>3</v>
      </c>
      <c r="AM90" s="6">
        <f t="shared" si="8"/>
        <v>14</v>
      </c>
      <c r="AN90" s="6">
        <v>0.65462059852528043</v>
      </c>
      <c r="AQ90" s="6">
        <f t="shared" si="9"/>
        <v>0.65462059852528043</v>
      </c>
      <c r="AR90" s="6">
        <v>57.666666666666664</v>
      </c>
      <c r="AS90" s="6">
        <v>1</v>
      </c>
      <c r="AT90" s="2">
        <v>0.21699886949341501</v>
      </c>
      <c r="AU90" s="2">
        <v>38.370357265349824</v>
      </c>
      <c r="AV90" s="2">
        <f t="shared" si="10"/>
        <v>0.36686227764533286</v>
      </c>
    </row>
    <row r="91" spans="1:48" ht="15.6" x14ac:dyDescent="0.25">
      <c r="A91" s="5" t="s">
        <v>88</v>
      </c>
      <c r="B91" s="5" t="s">
        <v>265</v>
      </c>
      <c r="C91" s="6" t="s">
        <v>307</v>
      </c>
      <c r="D91" s="6" t="s">
        <v>177</v>
      </c>
      <c r="E91" s="5" t="s">
        <v>312</v>
      </c>
      <c r="F91" s="6" t="s">
        <v>191</v>
      </c>
      <c r="G91" s="6" t="s">
        <v>317</v>
      </c>
      <c r="H91" s="6">
        <v>38.4</v>
      </c>
      <c r="I91" s="6">
        <v>33.24</v>
      </c>
      <c r="J91" s="6">
        <v>18.37</v>
      </c>
      <c r="K91" s="6">
        <v>19.899999999999999</v>
      </c>
      <c r="L91" s="6">
        <v>100.21</v>
      </c>
      <c r="M91" s="6" t="s">
        <v>196</v>
      </c>
      <c r="N91" s="6">
        <v>13.34</v>
      </c>
      <c r="O91" s="6">
        <v>25.2</v>
      </c>
      <c r="P91" s="6">
        <v>135.9</v>
      </c>
      <c r="Q91" s="6" t="s">
        <v>319</v>
      </c>
      <c r="R91" s="6">
        <v>3</v>
      </c>
      <c r="S91" s="6">
        <f t="shared" si="6"/>
        <v>20</v>
      </c>
      <c r="T91" s="6">
        <v>7</v>
      </c>
      <c r="U91" s="6">
        <v>13</v>
      </c>
      <c r="V91" s="6">
        <v>32.799999999999997</v>
      </c>
      <c r="W91" s="6">
        <v>15.798808758283929</v>
      </c>
      <c r="AL91" s="6">
        <f t="shared" si="7"/>
        <v>3</v>
      </c>
      <c r="AM91" s="6">
        <f t="shared" si="8"/>
        <v>20</v>
      </c>
      <c r="AN91" s="6">
        <v>0.86003313871986542</v>
      </c>
      <c r="AQ91" s="6">
        <f t="shared" si="9"/>
        <v>0.86003313871986542</v>
      </c>
      <c r="AR91" s="6">
        <v>67.666666666666671</v>
      </c>
      <c r="AS91" s="6">
        <v>0.8</v>
      </c>
      <c r="AT91" s="2">
        <v>0.3137580168803013</v>
      </c>
      <c r="AU91" s="2">
        <v>51.820092727171286</v>
      </c>
      <c r="AV91" s="2">
        <f t="shared" si="10"/>
        <v>0.3273126434487576</v>
      </c>
    </row>
    <row r="92" spans="1:48" ht="15.6" x14ac:dyDescent="0.25">
      <c r="A92" s="5" t="s">
        <v>89</v>
      </c>
      <c r="B92" s="5" t="s">
        <v>168</v>
      </c>
      <c r="C92" s="6" t="s">
        <v>307</v>
      </c>
      <c r="D92" s="6" t="s">
        <v>171</v>
      </c>
      <c r="E92" s="5" t="s">
        <v>312</v>
      </c>
      <c r="F92" s="6" t="s">
        <v>192</v>
      </c>
      <c r="G92" s="6" t="s">
        <v>317</v>
      </c>
      <c r="H92" s="6">
        <v>44.8</v>
      </c>
      <c r="I92" s="6">
        <v>23.5</v>
      </c>
      <c r="J92" s="6">
        <v>17.260000000000002</v>
      </c>
      <c r="K92" s="6">
        <v>19.600000000000001</v>
      </c>
      <c r="L92" s="6">
        <v>102.42000000000002</v>
      </c>
      <c r="Q92" s="6" t="s">
        <v>319</v>
      </c>
      <c r="R92" s="6">
        <v>2</v>
      </c>
      <c r="S92" s="6">
        <f t="shared" si="6"/>
        <v>7</v>
      </c>
      <c r="T92" s="6">
        <v>0</v>
      </c>
      <c r="U92" s="6">
        <v>7</v>
      </c>
      <c r="V92" s="6">
        <v>30.44</v>
      </c>
      <c r="W92" s="6">
        <v>14.895636945092344</v>
      </c>
      <c r="AL92" s="6">
        <f t="shared" si="7"/>
        <v>2</v>
      </c>
      <c r="AM92" s="6">
        <f t="shared" si="8"/>
        <v>7</v>
      </c>
      <c r="AN92" s="6">
        <v>0.86301488673767912</v>
      </c>
      <c r="AQ92" s="6">
        <f t="shared" si="9"/>
        <v>0.86301488673767912</v>
      </c>
      <c r="AR92" s="6">
        <v>60</v>
      </c>
      <c r="AS92" s="6">
        <v>0.9</v>
      </c>
      <c r="AT92" s="2">
        <v>0.21534113798241755</v>
      </c>
      <c r="AU92" s="2">
        <v>45.342318860861099</v>
      </c>
      <c r="AV92" s="2">
        <f t="shared" si="10"/>
        <v>0.29720757664518643</v>
      </c>
    </row>
    <row r="93" spans="1:48" ht="15.6" x14ac:dyDescent="0.25">
      <c r="A93" s="5" t="s">
        <v>90</v>
      </c>
      <c r="B93" s="5" t="s">
        <v>168</v>
      </c>
      <c r="C93" s="6" t="s">
        <v>307</v>
      </c>
      <c r="D93" s="6" t="s">
        <v>171</v>
      </c>
      <c r="E93" s="5" t="s">
        <v>312</v>
      </c>
      <c r="F93" s="6">
        <v>0</v>
      </c>
      <c r="G93" s="6" t="s">
        <v>315</v>
      </c>
      <c r="H93" s="6">
        <v>45.35</v>
      </c>
      <c r="I93" s="6">
        <v>34.67</v>
      </c>
      <c r="J93" s="6">
        <v>16.59</v>
      </c>
      <c r="K93" s="6">
        <v>24.6</v>
      </c>
      <c r="L93" s="6">
        <v>126.56</v>
      </c>
      <c r="Q93" s="6" t="s">
        <v>319</v>
      </c>
      <c r="R93" s="6">
        <v>3</v>
      </c>
      <c r="S93" s="6">
        <f t="shared" si="6"/>
        <v>20</v>
      </c>
      <c r="T93" s="6">
        <v>6</v>
      </c>
      <c r="U93" s="6">
        <v>14</v>
      </c>
      <c r="V93" s="6">
        <v>36.74</v>
      </c>
      <c r="W93" s="6">
        <v>16.233634350032396</v>
      </c>
      <c r="AL93" s="6">
        <f t="shared" si="7"/>
        <v>3</v>
      </c>
      <c r="AM93" s="6">
        <f t="shared" si="8"/>
        <v>20</v>
      </c>
      <c r="AN93" s="6">
        <v>0.97851924954987324</v>
      </c>
      <c r="AQ93" s="6">
        <f t="shared" si="9"/>
        <v>0.97851924954987324</v>
      </c>
      <c r="AR93" s="6">
        <v>74.333333333333329</v>
      </c>
      <c r="AS93" s="6">
        <v>0.9</v>
      </c>
      <c r="AT93" s="2"/>
      <c r="AU93" s="2">
        <v>59.64237260201903</v>
      </c>
      <c r="AV93" s="2">
        <f t="shared" si="10"/>
        <v>0.29029709228824274</v>
      </c>
    </row>
    <row r="94" spans="1:48" ht="15.6" x14ac:dyDescent="0.25">
      <c r="A94" s="5" t="s">
        <v>91</v>
      </c>
      <c r="B94" s="5" t="s">
        <v>168</v>
      </c>
      <c r="C94" s="6" t="s">
        <v>307</v>
      </c>
      <c r="D94" s="6" t="s">
        <v>171</v>
      </c>
      <c r="E94" s="5" t="s">
        <v>312</v>
      </c>
      <c r="F94" s="6">
        <v>0</v>
      </c>
      <c r="G94" s="6" t="s">
        <v>315</v>
      </c>
      <c r="H94" s="6">
        <v>44.37</v>
      </c>
      <c r="I94" s="6">
        <v>40.89</v>
      </c>
      <c r="J94" s="6">
        <v>14.04</v>
      </c>
      <c r="K94" s="6">
        <v>24.8</v>
      </c>
      <c r="L94" s="6">
        <v>112.82</v>
      </c>
      <c r="Q94" s="6" t="s">
        <v>319</v>
      </c>
      <c r="R94" s="6">
        <v>2</v>
      </c>
      <c r="S94" s="6">
        <f t="shared" si="6"/>
        <v>12</v>
      </c>
      <c r="T94" s="6">
        <v>5</v>
      </c>
      <c r="U94" s="6">
        <v>7</v>
      </c>
      <c r="V94" s="6">
        <v>32.659999999999997</v>
      </c>
      <c r="W94" s="6">
        <v>12.453495055824163</v>
      </c>
      <c r="AL94" s="6">
        <f t="shared" si="7"/>
        <v>2</v>
      </c>
      <c r="AM94" s="6">
        <f t="shared" si="8"/>
        <v>12</v>
      </c>
      <c r="AN94" s="6">
        <v>1</v>
      </c>
      <c r="AQ94" s="6">
        <f t="shared" si="9"/>
        <v>1</v>
      </c>
      <c r="AR94" s="6">
        <v>69.333333333333329</v>
      </c>
      <c r="AS94" s="6">
        <v>0.5</v>
      </c>
      <c r="AT94" s="2"/>
      <c r="AU94" s="2">
        <v>40.673114852321717</v>
      </c>
      <c r="AV94" s="2">
        <f t="shared" si="10"/>
        <v>0.2894876794894522</v>
      </c>
    </row>
    <row r="95" spans="1:48" ht="15.6" x14ac:dyDescent="0.25">
      <c r="A95" s="5" t="s">
        <v>92</v>
      </c>
      <c r="B95" s="5" t="s">
        <v>168</v>
      </c>
      <c r="C95" s="6" t="s">
        <v>307</v>
      </c>
      <c r="D95" s="6" t="s">
        <v>172</v>
      </c>
      <c r="E95" s="5" t="s">
        <v>312</v>
      </c>
      <c r="F95" s="6" t="s">
        <v>192</v>
      </c>
      <c r="G95" s="6" t="s">
        <v>190</v>
      </c>
      <c r="H95" s="6">
        <v>93.95</v>
      </c>
      <c r="I95" s="6">
        <v>70.55</v>
      </c>
      <c r="J95" s="6">
        <v>51.12</v>
      </c>
      <c r="K95" s="6">
        <v>505.6</v>
      </c>
      <c r="L95" s="6">
        <v>262.13</v>
      </c>
      <c r="Q95" s="6" t="s">
        <v>319</v>
      </c>
      <c r="R95" s="6">
        <v>4</v>
      </c>
      <c r="S95" s="6">
        <f t="shared" si="6"/>
        <v>35</v>
      </c>
      <c r="T95" s="6">
        <v>6</v>
      </c>
      <c r="U95" s="6">
        <v>29</v>
      </c>
      <c r="V95" s="6">
        <v>130.75</v>
      </c>
      <c r="W95" s="6">
        <v>40.286132340769697</v>
      </c>
      <c r="AL95" s="6">
        <f t="shared" si="7"/>
        <v>4</v>
      </c>
      <c r="AM95" s="6">
        <f t="shared" si="8"/>
        <v>35</v>
      </c>
      <c r="AN95" s="6">
        <v>0.78806988147045576</v>
      </c>
      <c r="AQ95" s="6">
        <f t="shared" si="9"/>
        <v>0.78806988147045576</v>
      </c>
      <c r="AR95" s="6">
        <v>76.333333333333329</v>
      </c>
      <c r="AS95" s="6">
        <v>0.9</v>
      </c>
      <c r="AT95" s="2">
        <v>0.4818881595263681</v>
      </c>
      <c r="AU95" s="2">
        <v>526.74118035556376</v>
      </c>
      <c r="AV95" s="2">
        <f t="shared" si="10"/>
        <v>0.49879830618395454</v>
      </c>
    </row>
    <row r="96" spans="1:48" ht="15.6" x14ac:dyDescent="0.25">
      <c r="A96" s="5" t="s">
        <v>93</v>
      </c>
      <c r="B96" s="5" t="s">
        <v>168</v>
      </c>
      <c r="C96" s="6" t="s">
        <v>307</v>
      </c>
      <c r="D96" s="6" t="s">
        <v>177</v>
      </c>
      <c r="E96" s="5" t="s">
        <v>312</v>
      </c>
      <c r="F96" s="6" t="s">
        <v>192</v>
      </c>
      <c r="G96" s="6" t="s">
        <v>316</v>
      </c>
      <c r="H96" s="6">
        <v>39.6</v>
      </c>
      <c r="I96" s="6">
        <v>30.26</v>
      </c>
      <c r="J96" s="6">
        <v>20</v>
      </c>
      <c r="K96" s="6">
        <v>20</v>
      </c>
      <c r="L96" s="6">
        <v>111.59</v>
      </c>
      <c r="Q96" s="6" t="s">
        <v>319</v>
      </c>
      <c r="R96" s="6">
        <v>3</v>
      </c>
      <c r="S96" s="6">
        <f t="shared" si="6"/>
        <v>11</v>
      </c>
      <c r="T96" s="6">
        <v>2</v>
      </c>
      <c r="U96" s="6">
        <v>9</v>
      </c>
      <c r="V96" s="6">
        <v>37.67</v>
      </c>
      <c r="W96" s="6">
        <v>15.546778903660144</v>
      </c>
      <c r="AL96" s="6">
        <f t="shared" si="7"/>
        <v>3</v>
      </c>
      <c r="AM96" s="6">
        <f t="shared" si="8"/>
        <v>11</v>
      </c>
      <c r="AN96" s="6">
        <v>0.77733894518300717</v>
      </c>
      <c r="AQ96" s="6">
        <f t="shared" si="9"/>
        <v>0.77733894518300717</v>
      </c>
      <c r="AR96" s="6">
        <v>71.333333333333329</v>
      </c>
      <c r="AS96" s="6">
        <v>0.7</v>
      </c>
      <c r="AT96" s="2">
        <v>0.17366650250226473</v>
      </c>
      <c r="AU96" s="2">
        <v>58.564716130087767</v>
      </c>
      <c r="AV96" s="2">
        <f t="shared" si="10"/>
        <v>0.33757505152791467</v>
      </c>
    </row>
    <row r="97" spans="1:48" ht="15.6" x14ac:dyDescent="0.25">
      <c r="A97" s="5" t="s">
        <v>94</v>
      </c>
      <c r="B97" s="5" t="s">
        <v>168</v>
      </c>
      <c r="C97" s="6" t="s">
        <v>307</v>
      </c>
      <c r="D97" s="6" t="s">
        <v>177</v>
      </c>
      <c r="E97" s="5" t="s">
        <v>312</v>
      </c>
      <c r="F97" s="6" t="s">
        <v>192</v>
      </c>
      <c r="G97" s="6" t="s">
        <v>316</v>
      </c>
      <c r="H97" s="6">
        <v>54.67</v>
      </c>
      <c r="I97" s="6">
        <v>39.75</v>
      </c>
      <c r="J97" s="6">
        <v>29.98</v>
      </c>
      <c r="K97" s="6">
        <v>45.5</v>
      </c>
      <c r="L97" s="6">
        <v>153.86999999999998</v>
      </c>
      <c r="M97" s="6" t="s">
        <v>198</v>
      </c>
      <c r="N97" s="6">
        <v>11.28</v>
      </c>
      <c r="O97" s="6">
        <v>24.01</v>
      </c>
      <c r="P97" s="6">
        <v>129.5</v>
      </c>
      <c r="Q97" s="6" t="s">
        <v>319</v>
      </c>
      <c r="R97" s="6">
        <v>3</v>
      </c>
      <c r="S97" s="6">
        <f t="shared" si="6"/>
        <v>16</v>
      </c>
      <c r="T97" s="6">
        <v>5</v>
      </c>
      <c r="U97" s="6">
        <v>11</v>
      </c>
      <c r="V97" s="6">
        <v>50.010000000000005</v>
      </c>
      <c r="W97" s="6">
        <v>12.164572889883988</v>
      </c>
      <c r="AL97" s="6">
        <f t="shared" si="7"/>
        <v>3</v>
      </c>
      <c r="AM97" s="6">
        <f t="shared" si="8"/>
        <v>16</v>
      </c>
      <c r="AN97" s="6">
        <v>0.40575626717424912</v>
      </c>
      <c r="AQ97" s="6">
        <f t="shared" si="9"/>
        <v>0.40575626717424912</v>
      </c>
      <c r="AR97" s="6">
        <v>71.333333333333329</v>
      </c>
      <c r="AS97" s="6">
        <v>0.5</v>
      </c>
      <c r="AT97" s="2">
        <v>0.1034300571899946</v>
      </c>
      <c r="AU97" s="2">
        <v>60.835029022309833</v>
      </c>
      <c r="AV97" s="2">
        <f t="shared" si="10"/>
        <v>0.32501462273347642</v>
      </c>
    </row>
    <row r="98" spans="1:48" ht="15.6" x14ac:dyDescent="0.25">
      <c r="A98" s="5" t="s">
        <v>95</v>
      </c>
      <c r="B98" s="5" t="s">
        <v>168</v>
      </c>
      <c r="C98" s="6" t="s">
        <v>307</v>
      </c>
      <c r="D98" s="6" t="s">
        <v>180</v>
      </c>
      <c r="E98" s="5" t="s">
        <v>313</v>
      </c>
      <c r="F98" s="6" t="s">
        <v>193</v>
      </c>
      <c r="G98" s="6" t="s">
        <v>318</v>
      </c>
      <c r="H98" s="6">
        <v>55.1</v>
      </c>
      <c r="I98" s="6">
        <v>44.63</v>
      </c>
      <c r="J98" s="6">
        <v>23.97</v>
      </c>
      <c r="K98" s="6">
        <v>62.6</v>
      </c>
      <c r="L98" s="6">
        <v>156.32</v>
      </c>
      <c r="Q98" s="6" t="s">
        <v>319</v>
      </c>
      <c r="R98" s="6">
        <v>3</v>
      </c>
      <c r="S98" s="6">
        <f t="shared" si="6"/>
        <v>13</v>
      </c>
      <c r="T98" s="6">
        <v>4</v>
      </c>
      <c r="U98" s="6">
        <v>9</v>
      </c>
      <c r="V98" s="6">
        <v>34.4</v>
      </c>
      <c r="W98" s="6">
        <v>24.428732564044967</v>
      </c>
      <c r="X98" s="6" t="s">
        <v>319</v>
      </c>
      <c r="Y98" s="6">
        <v>4</v>
      </c>
      <c r="Z98" s="6">
        <f t="shared" si="11"/>
        <v>16</v>
      </c>
      <c r="AA98" s="6">
        <v>2</v>
      </c>
      <c r="AB98" s="6">
        <v>14</v>
      </c>
      <c r="AC98" s="6">
        <v>28.37</v>
      </c>
      <c r="AD98" s="6">
        <v>14.255137057322228</v>
      </c>
      <c r="AL98" s="6">
        <f t="shared" si="7"/>
        <v>3.5</v>
      </c>
      <c r="AM98" s="6">
        <f t="shared" si="8"/>
        <v>29</v>
      </c>
      <c r="AN98" s="6">
        <v>1</v>
      </c>
      <c r="AO98" s="6">
        <v>0.59470742834051848</v>
      </c>
      <c r="AQ98" s="6">
        <f t="shared" si="9"/>
        <v>0.79735371417025924</v>
      </c>
      <c r="AR98" s="6">
        <v>71.666666666666657</v>
      </c>
      <c r="AS98" s="6">
        <v>0.5</v>
      </c>
      <c r="AT98" s="2"/>
      <c r="AU98" s="2">
        <v>242.81864961332184</v>
      </c>
      <c r="AV98" s="2">
        <f t="shared" si="10"/>
        <v>0.40154810644831113</v>
      </c>
    </row>
    <row r="99" spans="1:48" ht="15.6" x14ac:dyDescent="0.25">
      <c r="A99" s="5" t="s">
        <v>96</v>
      </c>
      <c r="B99" s="5" t="s">
        <v>168</v>
      </c>
      <c r="C99" s="6" t="s">
        <v>307</v>
      </c>
      <c r="D99" s="6" t="s">
        <v>175</v>
      </c>
      <c r="E99" s="5" t="s">
        <v>313</v>
      </c>
      <c r="F99" s="6">
        <v>0</v>
      </c>
      <c r="G99" s="6" t="s">
        <v>315</v>
      </c>
      <c r="H99" s="6">
        <v>45.95</v>
      </c>
      <c r="I99" s="6">
        <v>44.61</v>
      </c>
      <c r="J99" s="6">
        <v>20.58</v>
      </c>
      <c r="K99" s="6">
        <v>36.299999999999997</v>
      </c>
      <c r="L99" s="6">
        <v>143.1</v>
      </c>
      <c r="M99" s="6" t="s">
        <v>196</v>
      </c>
      <c r="N99" s="6">
        <v>20.86</v>
      </c>
      <c r="O99" s="6">
        <v>37.340000000000003</v>
      </c>
      <c r="P99" s="6">
        <v>74.849999999999994</v>
      </c>
      <c r="Q99" s="6" t="s">
        <v>319</v>
      </c>
      <c r="R99" s="6">
        <v>2</v>
      </c>
      <c r="S99" s="6">
        <f t="shared" si="6"/>
        <v>6</v>
      </c>
      <c r="T99" s="6">
        <v>2</v>
      </c>
      <c r="U99" s="6">
        <v>4</v>
      </c>
      <c r="V99" s="6">
        <v>34.1</v>
      </c>
      <c r="W99" s="6">
        <v>9.6822749644449448</v>
      </c>
      <c r="X99" s="6" t="s">
        <v>319</v>
      </c>
      <c r="Y99" s="6">
        <v>2</v>
      </c>
      <c r="Z99" s="6">
        <f t="shared" si="11"/>
        <v>8</v>
      </c>
      <c r="AA99" s="6">
        <v>2</v>
      </c>
      <c r="AB99" s="6">
        <v>6</v>
      </c>
      <c r="AC99" s="6">
        <v>23.9</v>
      </c>
      <c r="AD99" s="6">
        <v>13.875228885746751</v>
      </c>
      <c r="AL99" s="6">
        <f t="shared" si="7"/>
        <v>2</v>
      </c>
      <c r="AM99" s="6">
        <f t="shared" si="8"/>
        <v>14</v>
      </c>
      <c r="AN99" s="6">
        <v>0.47047011489042495</v>
      </c>
      <c r="AO99" s="6">
        <v>0.67420937248526491</v>
      </c>
      <c r="AQ99" s="6">
        <f t="shared" si="9"/>
        <v>0.5723397436878449</v>
      </c>
      <c r="AR99" s="6">
        <v>73.833333333333343</v>
      </c>
      <c r="AS99" s="6">
        <v>0.6</v>
      </c>
      <c r="AT99" s="2">
        <v>0.11758725517394389</v>
      </c>
      <c r="AU99" s="2">
        <v>136.63352233111181</v>
      </c>
      <c r="AV99" s="2">
        <f t="shared" si="10"/>
        <v>0.40531097134870719</v>
      </c>
    </row>
    <row r="100" spans="1:48" ht="15.6" x14ac:dyDescent="0.25">
      <c r="A100" s="5" t="s">
        <v>97</v>
      </c>
      <c r="B100" s="5" t="s">
        <v>168</v>
      </c>
      <c r="C100" s="6" t="s">
        <v>307</v>
      </c>
      <c r="D100" s="6" t="s">
        <v>171</v>
      </c>
      <c r="E100" s="5" t="s">
        <v>312</v>
      </c>
      <c r="F100" s="6">
        <v>0</v>
      </c>
      <c r="G100" s="6" t="s">
        <v>315</v>
      </c>
      <c r="H100" s="6">
        <v>63.84</v>
      </c>
      <c r="I100" s="6">
        <v>50</v>
      </c>
      <c r="J100" s="6">
        <v>13.7</v>
      </c>
      <c r="K100" s="6">
        <v>51</v>
      </c>
      <c r="L100" s="6">
        <v>179.26000000000005</v>
      </c>
      <c r="Q100" s="6" t="s">
        <v>319</v>
      </c>
      <c r="R100" s="6">
        <v>3</v>
      </c>
      <c r="S100" s="6">
        <f t="shared" si="6"/>
        <v>16</v>
      </c>
      <c r="T100" s="6">
        <v>5</v>
      </c>
      <c r="U100" s="6">
        <v>11</v>
      </c>
      <c r="V100" s="6">
        <v>39.58</v>
      </c>
      <c r="W100" s="6">
        <v>13.667455695918255</v>
      </c>
      <c r="AL100" s="6">
        <f t="shared" si="7"/>
        <v>3</v>
      </c>
      <c r="AM100" s="6">
        <f t="shared" si="8"/>
        <v>16</v>
      </c>
      <c r="AN100" s="6">
        <v>0.9976245033516975</v>
      </c>
      <c r="AQ100" s="6">
        <f t="shared" si="9"/>
        <v>0.9976245033516975</v>
      </c>
      <c r="AR100" s="6">
        <v>65.666666666666671</v>
      </c>
      <c r="AS100" s="6">
        <v>0.625</v>
      </c>
      <c r="AT100" s="2"/>
      <c r="AU100" s="2">
        <v>54.095789644444451</v>
      </c>
      <c r="AV100" s="2">
        <f t="shared" si="10"/>
        <v>0.22079660827847811</v>
      </c>
    </row>
    <row r="101" spans="1:48" ht="15.6" x14ac:dyDescent="0.25">
      <c r="A101" s="5" t="s">
        <v>98</v>
      </c>
      <c r="B101" s="5" t="s">
        <v>168</v>
      </c>
      <c r="C101" s="6" t="s">
        <v>307</v>
      </c>
      <c r="D101" s="6" t="s">
        <v>177</v>
      </c>
      <c r="E101" s="5" t="s">
        <v>312</v>
      </c>
      <c r="F101" s="6" t="s">
        <v>193</v>
      </c>
      <c r="G101" s="6" t="s">
        <v>318</v>
      </c>
      <c r="H101" s="6">
        <v>58.95</v>
      </c>
      <c r="I101" s="6">
        <v>48.3</v>
      </c>
      <c r="J101" s="6">
        <v>17.47</v>
      </c>
      <c r="K101" s="6">
        <v>77.599999999999994</v>
      </c>
      <c r="L101" s="6">
        <v>159.19</v>
      </c>
      <c r="Q101" s="6" t="s">
        <v>319</v>
      </c>
      <c r="R101" s="6">
        <v>2</v>
      </c>
      <c r="S101" s="6">
        <f t="shared" si="6"/>
        <v>9</v>
      </c>
      <c r="T101" s="6">
        <v>2</v>
      </c>
      <c r="U101" s="6">
        <v>7</v>
      </c>
      <c r="V101" s="6">
        <v>58.1</v>
      </c>
      <c r="W101" s="6">
        <v>16.996741162534342</v>
      </c>
      <c r="AL101" s="6">
        <f t="shared" si="7"/>
        <v>2</v>
      </c>
      <c r="AM101" s="6">
        <f t="shared" si="8"/>
        <v>9</v>
      </c>
      <c r="AN101" s="6">
        <v>0.97291019819887481</v>
      </c>
      <c r="AQ101" s="6">
        <f t="shared" si="9"/>
        <v>0.97291019819887481</v>
      </c>
      <c r="AR101" s="6">
        <v>62</v>
      </c>
      <c r="AS101" s="6">
        <v>0.9</v>
      </c>
      <c r="AT101" s="2"/>
      <c r="AU101" s="2">
        <v>98.751066154324533</v>
      </c>
      <c r="AV101" s="2">
        <f t="shared" si="10"/>
        <v>0.36497267416294993</v>
      </c>
    </row>
    <row r="102" spans="1:48" ht="15.6" x14ac:dyDescent="0.25">
      <c r="A102" s="5" t="s">
        <v>99</v>
      </c>
      <c r="B102" s="5" t="s">
        <v>168</v>
      </c>
      <c r="C102" s="6" t="s">
        <v>307</v>
      </c>
      <c r="D102" s="6" t="s">
        <v>172</v>
      </c>
      <c r="E102" s="5" t="s">
        <v>312</v>
      </c>
      <c r="F102" s="6" t="s">
        <v>189</v>
      </c>
      <c r="G102" s="6" t="s">
        <v>190</v>
      </c>
      <c r="H102" s="6">
        <v>83.05</v>
      </c>
      <c r="I102" s="6">
        <v>62.56</v>
      </c>
      <c r="J102" s="6">
        <v>42.9</v>
      </c>
      <c r="K102" s="6">
        <v>232</v>
      </c>
      <c r="L102" s="6">
        <v>200.05</v>
      </c>
      <c r="Q102" s="6" t="s">
        <v>319</v>
      </c>
      <c r="R102" s="6">
        <v>2</v>
      </c>
      <c r="S102" s="6">
        <f t="shared" si="6"/>
        <v>15</v>
      </c>
      <c r="T102" s="6">
        <v>5</v>
      </c>
      <c r="U102" s="6">
        <v>10</v>
      </c>
      <c r="V102" s="6">
        <v>106.46000000000001</v>
      </c>
      <c r="W102" s="6">
        <v>26.488901940201846</v>
      </c>
      <c r="AL102" s="6">
        <f t="shared" si="7"/>
        <v>2</v>
      </c>
      <c r="AM102" s="6">
        <f t="shared" si="8"/>
        <v>15</v>
      </c>
      <c r="AN102" s="6">
        <v>0.61745692168302668</v>
      </c>
      <c r="AQ102" s="6">
        <f t="shared" si="9"/>
        <v>0.61745692168302668</v>
      </c>
      <c r="AR102" s="6">
        <v>72.333333333333329</v>
      </c>
      <c r="AS102" s="6">
        <v>0.5</v>
      </c>
      <c r="AT102" s="2">
        <v>0.2080760869131911</v>
      </c>
      <c r="AU102" s="2">
        <v>282.00085005538887</v>
      </c>
      <c r="AV102" s="2">
        <f t="shared" si="10"/>
        <v>0.53216695826043492</v>
      </c>
    </row>
    <row r="103" spans="1:48" ht="15.6" x14ac:dyDescent="0.25">
      <c r="A103" s="5" t="s">
        <v>268</v>
      </c>
      <c r="B103" s="5" t="s">
        <v>168</v>
      </c>
      <c r="C103" s="6" t="s">
        <v>307</v>
      </c>
      <c r="D103" s="6" t="s">
        <v>172</v>
      </c>
      <c r="E103" s="5" t="s">
        <v>312</v>
      </c>
      <c r="F103" s="6">
        <v>0</v>
      </c>
      <c r="G103" s="6" t="s">
        <v>315</v>
      </c>
      <c r="H103" s="6">
        <v>97.37</v>
      </c>
      <c r="I103" s="6">
        <v>57.42</v>
      </c>
      <c r="J103" s="6">
        <v>27.42</v>
      </c>
      <c r="K103" s="6">
        <v>158.19999999999999</v>
      </c>
      <c r="L103" s="6">
        <v>205.82999999999998</v>
      </c>
      <c r="Q103" s="6" t="s">
        <v>319</v>
      </c>
      <c r="R103" s="6">
        <v>2</v>
      </c>
      <c r="S103" s="6">
        <f t="shared" si="6"/>
        <v>13</v>
      </c>
      <c r="T103" s="6">
        <v>2</v>
      </c>
      <c r="U103" s="6">
        <v>11</v>
      </c>
      <c r="V103" s="6">
        <v>74.77</v>
      </c>
      <c r="W103" s="6">
        <v>27.988509377503501</v>
      </c>
      <c r="AL103" s="6">
        <f t="shared" si="7"/>
        <v>2</v>
      </c>
      <c r="AM103" s="6">
        <f t="shared" si="8"/>
        <v>13</v>
      </c>
      <c r="AN103" s="6">
        <v>1</v>
      </c>
      <c r="AQ103" s="6">
        <f t="shared" si="9"/>
        <v>1</v>
      </c>
      <c r="AR103" s="6">
        <v>72.666666666666671</v>
      </c>
      <c r="AS103" s="6">
        <v>0.6</v>
      </c>
      <c r="AT103" s="2"/>
      <c r="AU103" s="2">
        <v>209.27008461559367</v>
      </c>
      <c r="AV103" s="2">
        <f t="shared" si="10"/>
        <v>0.36326094349706067</v>
      </c>
    </row>
    <row r="104" spans="1:48" ht="15.6" x14ac:dyDescent="0.25">
      <c r="A104" s="5" t="s">
        <v>100</v>
      </c>
      <c r="B104" s="5" t="s">
        <v>168</v>
      </c>
      <c r="C104" s="6" t="s">
        <v>307</v>
      </c>
      <c r="D104" s="6" t="s">
        <v>183</v>
      </c>
      <c r="E104" s="5" t="s">
        <v>313</v>
      </c>
      <c r="F104" s="6" t="s">
        <v>189</v>
      </c>
      <c r="G104" s="6" t="s">
        <v>317</v>
      </c>
      <c r="H104" s="6">
        <v>75.599999999999994</v>
      </c>
      <c r="I104" s="6">
        <v>66.930000000000007</v>
      </c>
      <c r="J104" s="6">
        <v>42.4</v>
      </c>
      <c r="K104" s="6">
        <v>192</v>
      </c>
      <c r="L104" s="6">
        <v>213.57999999999998</v>
      </c>
      <c r="Q104" s="6" t="s">
        <v>319</v>
      </c>
      <c r="R104" s="6">
        <v>4</v>
      </c>
      <c r="S104" s="6">
        <f t="shared" si="6"/>
        <v>25</v>
      </c>
      <c r="T104" s="6">
        <v>3</v>
      </c>
      <c r="U104" s="6">
        <v>22</v>
      </c>
      <c r="V104" s="6">
        <v>60.16</v>
      </c>
      <c r="W104" s="6">
        <v>33.19494347919219</v>
      </c>
      <c r="X104" s="6" t="s">
        <v>319</v>
      </c>
      <c r="Y104" s="6">
        <v>2</v>
      </c>
      <c r="Z104" s="6">
        <f t="shared" si="11"/>
        <v>8</v>
      </c>
      <c r="AA104" s="6">
        <v>2</v>
      </c>
      <c r="AB104" s="6">
        <v>6</v>
      </c>
      <c r="AC104" s="6">
        <v>26.810000000000002</v>
      </c>
      <c r="AD104" s="6">
        <v>26.131803082391563</v>
      </c>
      <c r="AL104" s="6">
        <f t="shared" si="7"/>
        <v>3</v>
      </c>
      <c r="AM104" s="6">
        <f t="shared" si="8"/>
        <v>33</v>
      </c>
      <c r="AN104" s="6">
        <v>0.78289961035830635</v>
      </c>
      <c r="AO104" s="6">
        <v>0.61631611043376333</v>
      </c>
      <c r="AQ104" s="6">
        <f t="shared" si="9"/>
        <v>0.69960786039603484</v>
      </c>
      <c r="AR104" s="6">
        <v>80.849999999999994</v>
      </c>
      <c r="AS104" s="6">
        <v>0.75</v>
      </c>
      <c r="AT104" s="2">
        <v>0.55141518928610034</v>
      </c>
      <c r="AU104" s="2">
        <v>515.9647148460939</v>
      </c>
      <c r="AV104" s="2">
        <f t="shared" si="10"/>
        <v>0.40720104878733965</v>
      </c>
    </row>
    <row r="105" spans="1:48" ht="15.6" x14ac:dyDescent="0.25">
      <c r="A105" s="5" t="s">
        <v>101</v>
      </c>
      <c r="B105" s="5" t="s">
        <v>168</v>
      </c>
      <c r="C105" s="6" t="s">
        <v>307</v>
      </c>
      <c r="D105" s="6" t="s">
        <v>172</v>
      </c>
      <c r="E105" s="5" t="s">
        <v>312</v>
      </c>
      <c r="F105" s="6">
        <v>0</v>
      </c>
      <c r="G105" s="6" t="s">
        <v>315</v>
      </c>
      <c r="H105" s="6">
        <v>65.52</v>
      </c>
      <c r="I105" s="6">
        <v>43.68</v>
      </c>
      <c r="J105" s="6">
        <v>18.25</v>
      </c>
      <c r="K105" s="6">
        <v>58.6</v>
      </c>
      <c r="L105" s="6">
        <v>154.88</v>
      </c>
      <c r="M105" s="6" t="s">
        <v>196</v>
      </c>
      <c r="N105" s="6">
        <v>9.11</v>
      </c>
      <c r="O105" s="6">
        <v>12.72</v>
      </c>
      <c r="P105" s="6">
        <v>116.85</v>
      </c>
      <c r="Q105" s="6" t="s">
        <v>319</v>
      </c>
      <c r="R105" s="6">
        <v>2</v>
      </c>
      <c r="S105" s="6">
        <f t="shared" si="6"/>
        <v>6</v>
      </c>
      <c r="T105" s="6">
        <v>1</v>
      </c>
      <c r="U105" s="6">
        <v>5</v>
      </c>
      <c r="V105" s="6">
        <v>35.11</v>
      </c>
      <c r="W105" s="6">
        <v>10.923299264545177</v>
      </c>
      <c r="AL105" s="6">
        <f t="shared" si="7"/>
        <v>2</v>
      </c>
      <c r="AM105" s="6">
        <f t="shared" si="8"/>
        <v>6</v>
      </c>
      <c r="AN105" s="6">
        <v>0.59853694600247542</v>
      </c>
      <c r="AQ105" s="6">
        <f t="shared" si="9"/>
        <v>0.59853694600247542</v>
      </c>
      <c r="AR105" s="6">
        <v>61.666666666666664</v>
      </c>
      <c r="AS105" s="6">
        <v>0.5</v>
      </c>
      <c r="AT105" s="2">
        <v>0.11117893363956932</v>
      </c>
      <c r="AU105" s="2">
        <v>38.351703717818118</v>
      </c>
      <c r="AV105" s="2">
        <f t="shared" si="10"/>
        <v>0.22669163223140495</v>
      </c>
    </row>
    <row r="106" spans="1:48" ht="15.6" x14ac:dyDescent="0.25">
      <c r="A106" s="5" t="s">
        <v>102</v>
      </c>
      <c r="B106" s="5" t="s">
        <v>168</v>
      </c>
      <c r="C106" s="6" t="s">
        <v>307</v>
      </c>
      <c r="D106" s="6" t="s">
        <v>311</v>
      </c>
      <c r="E106" s="5" t="s">
        <v>313</v>
      </c>
      <c r="F106" s="6" t="s">
        <v>191</v>
      </c>
      <c r="G106" s="6" t="s">
        <v>190</v>
      </c>
      <c r="H106" s="6">
        <v>62.14</v>
      </c>
      <c r="I106" s="6">
        <v>56.77</v>
      </c>
      <c r="J106" s="6">
        <v>24</v>
      </c>
      <c r="K106" s="6">
        <v>78.8</v>
      </c>
      <c r="L106" s="6">
        <v>179.59</v>
      </c>
      <c r="Q106" s="6" t="s">
        <v>319</v>
      </c>
      <c r="R106" s="6">
        <v>3</v>
      </c>
      <c r="S106" s="6">
        <f t="shared" si="6"/>
        <v>21</v>
      </c>
      <c r="T106" s="6">
        <v>2</v>
      </c>
      <c r="U106" s="6">
        <v>19</v>
      </c>
      <c r="V106" s="6">
        <v>40.25</v>
      </c>
      <c r="W106" s="6">
        <v>15.374108955161219</v>
      </c>
      <c r="X106" s="6" t="s">
        <v>320</v>
      </c>
      <c r="Y106" s="6">
        <v>3</v>
      </c>
      <c r="Z106" s="6">
        <f t="shared" si="11"/>
        <v>19</v>
      </c>
      <c r="AA106" s="6">
        <v>3</v>
      </c>
      <c r="AB106" s="6">
        <v>16</v>
      </c>
      <c r="AC106" s="6">
        <v>40.75</v>
      </c>
      <c r="AD106" s="6">
        <v>15.967340440012162</v>
      </c>
      <c r="AL106" s="6">
        <f t="shared" si="7"/>
        <v>3</v>
      </c>
      <c r="AM106" s="6">
        <f t="shared" si="8"/>
        <v>40</v>
      </c>
      <c r="AN106" s="6">
        <v>0.6405878731317175</v>
      </c>
      <c r="AO106" s="6">
        <v>0.66530585166717338</v>
      </c>
      <c r="AQ106" s="6">
        <f t="shared" si="9"/>
        <v>0.65294686239944544</v>
      </c>
      <c r="AR106" s="6">
        <v>73.483333333333334</v>
      </c>
      <c r="AS106" s="6">
        <v>0.7857142857142857</v>
      </c>
      <c r="AT106" s="2">
        <v>0.51576927267643147</v>
      </c>
      <c r="AU106" s="2">
        <v>253.86574010090439</v>
      </c>
      <c r="AV106" s="2">
        <f t="shared" si="10"/>
        <v>0.45102734005234146</v>
      </c>
    </row>
    <row r="107" spans="1:48" ht="15.6" x14ac:dyDescent="0.25">
      <c r="A107" s="5" t="s">
        <v>103</v>
      </c>
      <c r="B107" s="5" t="s">
        <v>168</v>
      </c>
      <c r="C107" s="6" t="s">
        <v>307</v>
      </c>
      <c r="D107" s="6" t="s">
        <v>180</v>
      </c>
      <c r="E107" s="5" t="s">
        <v>313</v>
      </c>
      <c r="F107" s="6" t="s">
        <v>189</v>
      </c>
      <c r="G107" s="6" t="s">
        <v>316</v>
      </c>
      <c r="H107" s="6">
        <v>55.2</v>
      </c>
      <c r="I107" s="6">
        <v>46.34</v>
      </c>
      <c r="J107" s="6">
        <v>19.5</v>
      </c>
      <c r="K107" s="6">
        <v>72.3</v>
      </c>
      <c r="L107" s="6">
        <v>147.94999999999999</v>
      </c>
      <c r="Q107" s="6" t="s">
        <v>319</v>
      </c>
      <c r="R107" s="6">
        <v>2</v>
      </c>
      <c r="S107" s="6">
        <f t="shared" si="6"/>
        <v>7</v>
      </c>
      <c r="T107" s="6">
        <v>1</v>
      </c>
      <c r="U107" s="6">
        <v>6</v>
      </c>
      <c r="V107" s="6">
        <v>42.5</v>
      </c>
      <c r="W107" s="6">
        <v>19.478883671101229</v>
      </c>
      <c r="X107" s="6" t="s">
        <v>319</v>
      </c>
      <c r="Y107" s="6">
        <v>3</v>
      </c>
      <c r="Z107" s="6">
        <f t="shared" si="11"/>
        <v>8</v>
      </c>
      <c r="AA107" s="6">
        <v>1</v>
      </c>
      <c r="AB107" s="6">
        <v>7</v>
      </c>
      <c r="AC107" s="6">
        <v>30.25</v>
      </c>
      <c r="AD107" s="6">
        <v>19.826925643298019</v>
      </c>
      <c r="AL107" s="6">
        <f t="shared" si="7"/>
        <v>2.5</v>
      </c>
      <c r="AM107" s="6">
        <f t="shared" si="8"/>
        <v>15</v>
      </c>
      <c r="AN107" s="6">
        <v>0.99891711133852457</v>
      </c>
      <c r="AO107" s="6">
        <v>1</v>
      </c>
      <c r="AQ107" s="6">
        <f t="shared" si="9"/>
        <v>0.99945855566926234</v>
      </c>
      <c r="AR107" s="6">
        <v>80.316666666666663</v>
      </c>
      <c r="AS107" s="6">
        <v>0.5</v>
      </c>
      <c r="AT107" s="2"/>
      <c r="AU107" s="2">
        <v>285.94976276225452</v>
      </c>
      <c r="AV107" s="2">
        <f t="shared" si="10"/>
        <v>0.49172017573504567</v>
      </c>
    </row>
    <row r="108" spans="1:48" ht="15.6" x14ac:dyDescent="0.25">
      <c r="A108" s="5" t="s">
        <v>104</v>
      </c>
      <c r="B108" s="5" t="s">
        <v>169</v>
      </c>
      <c r="C108" s="6" t="s">
        <v>307</v>
      </c>
      <c r="D108" s="6" t="s">
        <v>172</v>
      </c>
      <c r="E108" s="5" t="s">
        <v>312</v>
      </c>
      <c r="F108" s="6" t="s">
        <v>192</v>
      </c>
      <c r="G108" s="6" t="s">
        <v>190</v>
      </c>
      <c r="H108" s="6">
        <v>47.89</v>
      </c>
      <c r="I108" s="6">
        <v>38.770000000000003</v>
      </c>
      <c r="J108" s="6">
        <v>19.8</v>
      </c>
      <c r="K108" s="6">
        <v>42.4</v>
      </c>
      <c r="L108" s="6">
        <v>134.72</v>
      </c>
      <c r="M108" s="6" t="s">
        <v>196</v>
      </c>
      <c r="N108" s="6">
        <v>8.6999999999999993</v>
      </c>
      <c r="O108" s="6">
        <v>15.92</v>
      </c>
      <c r="P108" s="6">
        <v>126.05</v>
      </c>
      <c r="Q108" s="6" t="s">
        <v>319</v>
      </c>
      <c r="R108" s="6">
        <v>2</v>
      </c>
      <c r="S108" s="6">
        <f t="shared" si="6"/>
        <v>10</v>
      </c>
      <c r="T108" s="6">
        <v>2</v>
      </c>
      <c r="U108" s="6">
        <v>8</v>
      </c>
      <c r="V108" s="6">
        <v>48.72</v>
      </c>
      <c r="W108" s="6">
        <v>15.975377814185748</v>
      </c>
      <c r="AL108" s="6">
        <f t="shared" si="7"/>
        <v>2</v>
      </c>
      <c r="AM108" s="6">
        <f t="shared" si="8"/>
        <v>10</v>
      </c>
      <c r="AN108" s="6">
        <v>0.80683726334271455</v>
      </c>
      <c r="AQ108" s="6">
        <f t="shared" si="9"/>
        <v>0.80683726334271455</v>
      </c>
      <c r="AR108" s="6">
        <v>68</v>
      </c>
      <c r="AS108" s="6">
        <v>0.7</v>
      </c>
      <c r="AT108" s="2">
        <v>0.4317500968423692</v>
      </c>
      <c r="AU108" s="2">
        <v>77.83204071071296</v>
      </c>
      <c r="AV108" s="2">
        <f t="shared" si="10"/>
        <v>0.36163895486935865</v>
      </c>
    </row>
    <row r="109" spans="1:48" ht="15.6" x14ac:dyDescent="0.25">
      <c r="A109" s="5" t="s">
        <v>105</v>
      </c>
      <c r="B109" s="5" t="s">
        <v>168</v>
      </c>
      <c r="C109" s="6" t="s">
        <v>307</v>
      </c>
      <c r="D109" s="6" t="s">
        <v>185</v>
      </c>
      <c r="E109" s="5" t="s">
        <v>313</v>
      </c>
      <c r="F109" s="6" t="s">
        <v>193</v>
      </c>
      <c r="G109" s="6" t="s">
        <v>318</v>
      </c>
      <c r="H109" s="6">
        <v>48.61</v>
      </c>
      <c r="I109" s="6">
        <v>38.82</v>
      </c>
      <c r="J109" s="6">
        <v>19.88</v>
      </c>
      <c r="K109" s="6">
        <v>41.7</v>
      </c>
      <c r="L109" s="6">
        <v>141.75</v>
      </c>
      <c r="M109" s="6" t="s">
        <v>197</v>
      </c>
      <c r="N109" s="6">
        <v>14.2</v>
      </c>
      <c r="O109" s="6">
        <v>25.8</v>
      </c>
      <c r="P109" s="6">
        <v>126.2</v>
      </c>
      <c r="Q109" s="6" t="s">
        <v>319</v>
      </c>
      <c r="R109" s="6">
        <v>2</v>
      </c>
      <c r="S109" s="6">
        <f t="shared" si="6"/>
        <v>9</v>
      </c>
      <c r="T109" s="6">
        <v>0</v>
      </c>
      <c r="U109" s="6">
        <v>9</v>
      </c>
      <c r="V109" s="6">
        <v>48.879999999999995</v>
      </c>
      <c r="W109" s="6">
        <v>9.8014294725450366</v>
      </c>
      <c r="AL109" s="6">
        <f t="shared" si="7"/>
        <v>2</v>
      </c>
      <c r="AM109" s="6">
        <f t="shared" si="8"/>
        <v>9</v>
      </c>
      <c r="AN109" s="6">
        <v>0.49302965153647066</v>
      </c>
      <c r="AQ109" s="6">
        <f t="shared" si="9"/>
        <v>0.49302965153647066</v>
      </c>
      <c r="AR109" s="6">
        <v>57.666666666666664</v>
      </c>
      <c r="AS109" s="6">
        <v>0.5</v>
      </c>
      <c r="AT109" s="2">
        <v>0.30043903365924352</v>
      </c>
      <c r="AU109" s="2">
        <v>47.909387261800134</v>
      </c>
      <c r="AV109" s="2">
        <f t="shared" si="10"/>
        <v>0.34483245149911812</v>
      </c>
    </row>
    <row r="110" spans="1:48" ht="15.6" x14ac:dyDescent="0.25">
      <c r="A110" s="5" t="s">
        <v>106</v>
      </c>
      <c r="B110" s="5" t="s">
        <v>168</v>
      </c>
      <c r="C110" s="6" t="s">
        <v>307</v>
      </c>
      <c r="D110" s="6" t="s">
        <v>310</v>
      </c>
      <c r="E110" s="5" t="s">
        <v>313</v>
      </c>
      <c r="F110" s="6">
        <v>0</v>
      </c>
      <c r="G110" s="6" t="s">
        <v>315</v>
      </c>
      <c r="H110" s="6">
        <v>52.2</v>
      </c>
      <c r="I110" s="6">
        <v>51.37</v>
      </c>
      <c r="J110" s="6">
        <v>17.53</v>
      </c>
      <c r="K110" s="6">
        <v>51.4</v>
      </c>
      <c r="L110" s="6">
        <v>164.24</v>
      </c>
      <c r="Q110" s="6" t="s">
        <v>320</v>
      </c>
      <c r="R110" s="6">
        <v>3</v>
      </c>
      <c r="S110" s="6">
        <f t="shared" si="6"/>
        <v>15</v>
      </c>
      <c r="T110" s="6">
        <v>4</v>
      </c>
      <c r="U110" s="6">
        <v>11</v>
      </c>
      <c r="V110" s="6">
        <v>39.230000000000004</v>
      </c>
      <c r="W110" s="6">
        <v>17.312110548163123</v>
      </c>
      <c r="X110" s="6" t="s">
        <v>320</v>
      </c>
      <c r="Y110" s="6">
        <v>3</v>
      </c>
      <c r="Z110" s="6">
        <f t="shared" si="11"/>
        <v>15</v>
      </c>
      <c r="AA110" s="6">
        <v>3</v>
      </c>
      <c r="AB110" s="6">
        <v>12</v>
      </c>
      <c r="AC110" s="6">
        <v>46.83</v>
      </c>
      <c r="AD110" s="6">
        <v>11.633798074173074</v>
      </c>
      <c r="AL110" s="6">
        <f t="shared" si="7"/>
        <v>3</v>
      </c>
      <c r="AM110" s="6">
        <f t="shared" si="8"/>
        <v>30</v>
      </c>
      <c r="AN110" s="6">
        <v>0.98757048192601948</v>
      </c>
      <c r="AO110" s="6">
        <v>0.66365077433959341</v>
      </c>
      <c r="AQ110" s="6">
        <f t="shared" si="9"/>
        <v>0.82561062813280639</v>
      </c>
      <c r="AR110" s="6">
        <v>66.166666666666671</v>
      </c>
      <c r="AS110" s="6">
        <v>0.5625</v>
      </c>
      <c r="AT110" s="2"/>
      <c r="AU110" s="2">
        <v>249.10848960382532</v>
      </c>
      <c r="AV110" s="2">
        <f t="shared" si="10"/>
        <v>0.52398928397467115</v>
      </c>
    </row>
    <row r="111" spans="1:48" ht="15.6" x14ac:dyDescent="0.25">
      <c r="A111" s="5" t="s">
        <v>107</v>
      </c>
      <c r="B111" s="5" t="s">
        <v>168</v>
      </c>
      <c r="C111" s="6" t="s">
        <v>307</v>
      </c>
      <c r="D111" s="6" t="s">
        <v>172</v>
      </c>
      <c r="E111" s="5" t="s">
        <v>312</v>
      </c>
      <c r="F111" s="6">
        <v>0</v>
      </c>
      <c r="G111" s="6" t="s">
        <v>315</v>
      </c>
      <c r="H111" s="6">
        <v>53.45</v>
      </c>
      <c r="I111" s="6">
        <v>39.85</v>
      </c>
      <c r="J111" s="6">
        <v>17.399999999999999</v>
      </c>
      <c r="K111" s="6">
        <v>45.9</v>
      </c>
      <c r="L111" s="6">
        <v>147.34</v>
      </c>
      <c r="Q111" s="6" t="s">
        <v>319</v>
      </c>
      <c r="R111" s="6">
        <v>3</v>
      </c>
      <c r="S111" s="6">
        <f t="shared" si="6"/>
        <v>22</v>
      </c>
      <c r="T111" s="6">
        <v>5</v>
      </c>
      <c r="U111" s="6">
        <v>17</v>
      </c>
      <c r="V111" s="6">
        <v>59.650000000000006</v>
      </c>
      <c r="W111" s="6">
        <v>17.697223598044278</v>
      </c>
      <c r="AL111" s="6">
        <f t="shared" si="7"/>
        <v>3</v>
      </c>
      <c r="AM111" s="6">
        <f t="shared" si="8"/>
        <v>22</v>
      </c>
      <c r="AN111" s="6">
        <v>0.99494888207834042</v>
      </c>
      <c r="AQ111" s="6">
        <f t="shared" si="9"/>
        <v>0.99494888207834042</v>
      </c>
      <c r="AR111" s="6">
        <v>60.666666666666664</v>
      </c>
      <c r="AS111" s="6">
        <v>0.8</v>
      </c>
      <c r="AT111" s="2"/>
      <c r="AU111" s="2">
        <v>105.56393876233412</v>
      </c>
      <c r="AV111" s="2">
        <f t="shared" si="10"/>
        <v>0.40484593457309626</v>
      </c>
    </row>
    <row r="112" spans="1:48" ht="15.6" x14ac:dyDescent="0.25">
      <c r="A112" s="5" t="s">
        <v>108</v>
      </c>
      <c r="B112" s="5" t="s">
        <v>168</v>
      </c>
      <c r="C112" s="6" t="s">
        <v>307</v>
      </c>
      <c r="D112" s="6" t="s">
        <v>172</v>
      </c>
      <c r="E112" s="5" t="s">
        <v>312</v>
      </c>
      <c r="F112" s="6">
        <v>0</v>
      </c>
      <c r="G112" s="6" t="s">
        <v>315</v>
      </c>
      <c r="H112" s="6">
        <v>50.3</v>
      </c>
      <c r="I112" s="6">
        <v>44.66</v>
      </c>
      <c r="J112" s="6">
        <v>24.6</v>
      </c>
      <c r="K112" s="6">
        <v>35.200000000000003</v>
      </c>
      <c r="L112" s="6">
        <v>134.24</v>
      </c>
      <c r="Q112" s="6" t="s">
        <v>319</v>
      </c>
      <c r="R112" s="6">
        <v>3</v>
      </c>
      <c r="S112" s="6">
        <f t="shared" si="6"/>
        <v>23</v>
      </c>
      <c r="T112" s="6">
        <v>2</v>
      </c>
      <c r="U112" s="6">
        <v>21</v>
      </c>
      <c r="V112" s="6">
        <v>36.590000000000003</v>
      </c>
      <c r="W112" s="6">
        <v>24.087010291486969</v>
      </c>
      <c r="AL112" s="6">
        <f t="shared" si="7"/>
        <v>3</v>
      </c>
      <c r="AM112" s="6">
        <f t="shared" si="8"/>
        <v>23</v>
      </c>
      <c r="AN112" s="6">
        <v>0.97914675981654342</v>
      </c>
      <c r="AQ112" s="6">
        <f t="shared" si="9"/>
        <v>0.97914675981654342</v>
      </c>
      <c r="AR112" s="6">
        <v>73.666666666666671</v>
      </c>
      <c r="AS112" s="6">
        <v>0.8</v>
      </c>
      <c r="AT112" s="2"/>
      <c r="AU112" s="2">
        <v>88.134370656550828</v>
      </c>
      <c r="AV112" s="2">
        <f t="shared" si="10"/>
        <v>0.27257151370679383</v>
      </c>
    </row>
    <row r="113" spans="1:48" ht="15.6" x14ac:dyDescent="0.25">
      <c r="A113" s="5" t="s">
        <v>109</v>
      </c>
      <c r="B113" s="5" t="s">
        <v>168</v>
      </c>
      <c r="C113" s="6" t="s">
        <v>307</v>
      </c>
      <c r="D113" s="6" t="s">
        <v>172</v>
      </c>
      <c r="E113" s="5" t="s">
        <v>312</v>
      </c>
      <c r="F113" s="6">
        <v>0</v>
      </c>
      <c r="G113" s="6" t="s">
        <v>315</v>
      </c>
      <c r="H113" s="6">
        <v>47.12</v>
      </c>
      <c r="I113" s="6">
        <v>45.25</v>
      </c>
      <c r="J113" s="6">
        <v>15.66</v>
      </c>
      <c r="K113" s="6">
        <v>29</v>
      </c>
      <c r="L113" s="6">
        <v>134.88999999999999</v>
      </c>
      <c r="Q113" s="6" t="s">
        <v>319</v>
      </c>
      <c r="R113" s="6">
        <v>2</v>
      </c>
      <c r="S113" s="6">
        <f t="shared" si="6"/>
        <v>14</v>
      </c>
      <c r="T113" s="6">
        <v>6</v>
      </c>
      <c r="U113" s="6">
        <v>8</v>
      </c>
      <c r="V113" s="6">
        <v>30.299999999999997</v>
      </c>
      <c r="W113" s="6">
        <v>9.3809786483741231</v>
      </c>
      <c r="AL113" s="6">
        <f t="shared" si="7"/>
        <v>2</v>
      </c>
      <c r="AM113" s="6">
        <f t="shared" si="8"/>
        <v>14</v>
      </c>
      <c r="AN113" s="6">
        <v>0.59904078214394141</v>
      </c>
      <c r="AQ113" s="6">
        <f t="shared" si="9"/>
        <v>0.59904078214394141</v>
      </c>
      <c r="AR113" s="6">
        <v>62.666666666666664</v>
      </c>
      <c r="AS113" s="6">
        <v>0.5</v>
      </c>
      <c r="AT113" s="2">
        <v>0.18107056234977573</v>
      </c>
      <c r="AU113" s="2">
        <v>28.424365304573591</v>
      </c>
      <c r="AV113" s="2">
        <f t="shared" si="10"/>
        <v>0.22462747423826823</v>
      </c>
    </row>
    <row r="114" spans="1:48" ht="15.6" x14ac:dyDescent="0.25">
      <c r="A114" s="5" t="s">
        <v>110</v>
      </c>
      <c r="B114" s="5" t="s">
        <v>168</v>
      </c>
      <c r="C114" s="6" t="s">
        <v>307</v>
      </c>
      <c r="D114" s="6" t="s">
        <v>185</v>
      </c>
      <c r="E114" s="5" t="s">
        <v>313</v>
      </c>
      <c r="F114" s="6">
        <v>0</v>
      </c>
      <c r="G114" s="6" t="s">
        <v>315</v>
      </c>
      <c r="H114" s="6">
        <v>34.5</v>
      </c>
      <c r="I114" s="6">
        <v>27.43</v>
      </c>
      <c r="J114" s="6">
        <v>11.5</v>
      </c>
      <c r="K114" s="6">
        <v>11.1</v>
      </c>
      <c r="L114" s="6">
        <v>91.73</v>
      </c>
      <c r="Q114" s="6" t="s">
        <v>319</v>
      </c>
      <c r="R114" s="6">
        <v>3</v>
      </c>
      <c r="S114" s="6">
        <f t="shared" si="6"/>
        <v>16</v>
      </c>
      <c r="T114" s="6">
        <v>5</v>
      </c>
      <c r="U114" s="6">
        <v>11</v>
      </c>
      <c r="V114" s="6">
        <v>38.910000000000004</v>
      </c>
      <c r="W114" s="6">
        <v>8.1506648823278276</v>
      </c>
      <c r="X114" s="6" t="s">
        <v>319</v>
      </c>
      <c r="Y114" s="6">
        <v>3</v>
      </c>
      <c r="Z114" s="6">
        <f t="shared" si="11"/>
        <v>14</v>
      </c>
      <c r="AA114" s="6">
        <v>3</v>
      </c>
      <c r="AB114" s="6">
        <v>11</v>
      </c>
      <c r="AC114" s="6">
        <v>31.450000000000003</v>
      </c>
      <c r="AD114" s="6">
        <v>12.955234861698868</v>
      </c>
      <c r="AL114" s="6">
        <f t="shared" si="7"/>
        <v>3</v>
      </c>
      <c r="AM114" s="6">
        <f t="shared" si="8"/>
        <v>30</v>
      </c>
      <c r="AN114" s="6">
        <v>0.70875346802850669</v>
      </c>
      <c r="AO114" s="6">
        <v>1</v>
      </c>
      <c r="AQ114" s="6">
        <f t="shared" si="9"/>
        <v>0.8543767340142534</v>
      </c>
      <c r="AR114" s="6">
        <v>62.333333333333329</v>
      </c>
      <c r="AS114" s="6">
        <v>0.8125</v>
      </c>
      <c r="AT114" s="2"/>
      <c r="AU114" s="2">
        <v>148.50111059897185</v>
      </c>
      <c r="AV114" s="2">
        <f t="shared" si="10"/>
        <v>0.76703368581707199</v>
      </c>
    </row>
    <row r="115" spans="1:48" ht="15.6" x14ac:dyDescent="0.25">
      <c r="A115" s="5" t="s">
        <v>111</v>
      </c>
      <c r="B115" s="5" t="s">
        <v>168</v>
      </c>
      <c r="C115" s="6" t="s">
        <v>307</v>
      </c>
      <c r="D115" s="6" t="s">
        <v>177</v>
      </c>
      <c r="E115" s="5" t="s">
        <v>312</v>
      </c>
      <c r="F115" s="6">
        <v>0</v>
      </c>
      <c r="G115" s="6" t="s">
        <v>315</v>
      </c>
      <c r="H115" s="6">
        <v>37.1</v>
      </c>
      <c r="I115" s="6">
        <v>21.78</v>
      </c>
      <c r="J115" s="6">
        <v>15.3</v>
      </c>
      <c r="K115" s="6">
        <v>14.4</v>
      </c>
      <c r="L115" s="6">
        <v>97.609999999999985</v>
      </c>
      <c r="Q115" s="6" t="s">
        <v>319</v>
      </c>
      <c r="R115" s="6">
        <v>2</v>
      </c>
      <c r="S115" s="6">
        <f t="shared" si="6"/>
        <v>13</v>
      </c>
      <c r="T115" s="6">
        <v>2</v>
      </c>
      <c r="U115" s="6">
        <v>11</v>
      </c>
      <c r="V115" s="6">
        <v>32.619999999999997</v>
      </c>
      <c r="W115" s="6">
        <v>13.229550300040245</v>
      </c>
      <c r="AL115" s="6">
        <f t="shared" si="7"/>
        <v>2</v>
      </c>
      <c r="AM115" s="6">
        <f t="shared" si="8"/>
        <v>13</v>
      </c>
      <c r="AN115" s="6">
        <v>0.86467649019870874</v>
      </c>
      <c r="AQ115" s="6">
        <f t="shared" si="9"/>
        <v>0.86467649019870874</v>
      </c>
      <c r="AR115" s="6">
        <v>58</v>
      </c>
      <c r="AS115" s="6">
        <v>0.8</v>
      </c>
      <c r="AT115" s="2">
        <v>0.44480321160755754</v>
      </c>
      <c r="AU115" s="2">
        <v>43.154793078731274</v>
      </c>
      <c r="AV115" s="2">
        <f t="shared" si="10"/>
        <v>0.3341870709968241</v>
      </c>
    </row>
    <row r="116" spans="1:48" ht="15.6" x14ac:dyDescent="0.25">
      <c r="A116" s="5" t="s">
        <v>112</v>
      </c>
      <c r="B116" s="5" t="s">
        <v>168</v>
      </c>
      <c r="C116" s="6" t="s">
        <v>307</v>
      </c>
      <c r="D116" s="6" t="s">
        <v>310</v>
      </c>
      <c r="E116" s="5" t="s">
        <v>312</v>
      </c>
      <c r="F116" s="6">
        <v>0</v>
      </c>
      <c r="G116" s="6" t="s">
        <v>315</v>
      </c>
      <c r="H116" s="6">
        <v>39.9</v>
      </c>
      <c r="I116" s="6">
        <v>25.87</v>
      </c>
      <c r="J116" s="6">
        <v>17.100000000000001</v>
      </c>
      <c r="K116" s="6">
        <v>19.3</v>
      </c>
      <c r="L116" s="6">
        <v>93.46</v>
      </c>
      <c r="Q116" s="6" t="s">
        <v>320</v>
      </c>
      <c r="R116" s="6">
        <v>4</v>
      </c>
      <c r="S116" s="6">
        <f t="shared" si="6"/>
        <v>26</v>
      </c>
      <c r="T116" s="6">
        <v>5</v>
      </c>
      <c r="U116" s="6">
        <v>21</v>
      </c>
      <c r="V116" s="6">
        <v>45.7</v>
      </c>
      <c r="W116" s="6">
        <v>16.932276742751501</v>
      </c>
      <c r="AL116" s="6">
        <f t="shared" si="7"/>
        <v>4</v>
      </c>
      <c r="AM116" s="6">
        <f t="shared" si="8"/>
        <v>26</v>
      </c>
      <c r="AN116" s="6">
        <v>0.99019162238312863</v>
      </c>
      <c r="AQ116" s="6">
        <f t="shared" si="9"/>
        <v>0.99019162238312863</v>
      </c>
      <c r="AR116" s="6">
        <v>79.333333333333329</v>
      </c>
      <c r="AS116" s="6">
        <v>0.6</v>
      </c>
      <c r="AT116" s="2"/>
      <c r="AU116" s="2">
        <v>77.380504714374368</v>
      </c>
      <c r="AV116" s="2">
        <f t="shared" si="10"/>
        <v>0.48897924245666602</v>
      </c>
    </row>
    <row r="117" spans="1:48" ht="15.6" x14ac:dyDescent="0.25">
      <c r="A117" s="5" t="s">
        <v>113</v>
      </c>
      <c r="B117" s="5" t="s">
        <v>168</v>
      </c>
      <c r="C117" s="6" t="s">
        <v>307</v>
      </c>
      <c r="D117" s="6" t="s">
        <v>182</v>
      </c>
      <c r="E117" s="5" t="s">
        <v>313</v>
      </c>
      <c r="F117" s="6" t="s">
        <v>192</v>
      </c>
      <c r="G117" s="6" t="s">
        <v>194</v>
      </c>
      <c r="H117" s="6">
        <v>65.900000000000006</v>
      </c>
      <c r="I117" s="6">
        <v>48.3</v>
      </c>
      <c r="J117" s="6">
        <v>20</v>
      </c>
      <c r="K117" s="6">
        <v>63</v>
      </c>
      <c r="L117" s="6">
        <v>183.87</v>
      </c>
      <c r="M117" s="6" t="s">
        <v>196</v>
      </c>
      <c r="N117" s="6">
        <v>13.95</v>
      </c>
      <c r="O117" s="6">
        <v>42.41</v>
      </c>
      <c r="P117" s="6">
        <v>125.75</v>
      </c>
      <c r="Q117" s="6" t="s">
        <v>319</v>
      </c>
      <c r="R117" s="6">
        <v>2</v>
      </c>
      <c r="S117" s="6">
        <f t="shared" si="6"/>
        <v>17</v>
      </c>
      <c r="T117" s="6">
        <v>4</v>
      </c>
      <c r="U117" s="6">
        <v>13</v>
      </c>
      <c r="V117" s="6">
        <v>57.72</v>
      </c>
      <c r="W117" s="6">
        <v>19.138298776183262</v>
      </c>
      <c r="X117" s="6" t="s">
        <v>319</v>
      </c>
      <c r="Y117" s="6">
        <v>2</v>
      </c>
      <c r="Z117" s="6">
        <f t="shared" si="11"/>
        <v>10</v>
      </c>
      <c r="AA117" s="6">
        <v>3</v>
      </c>
      <c r="AB117" s="6">
        <v>7</v>
      </c>
      <c r="AC117" s="6">
        <v>42.4</v>
      </c>
      <c r="AD117" s="6">
        <v>11.697720148751639</v>
      </c>
      <c r="AL117" s="6">
        <f t="shared" si="7"/>
        <v>2</v>
      </c>
      <c r="AM117" s="6">
        <f t="shared" si="8"/>
        <v>27</v>
      </c>
      <c r="AN117" s="6">
        <v>0.95691493880916312</v>
      </c>
      <c r="AO117" s="6">
        <v>0.5848860074375819</v>
      </c>
      <c r="AQ117" s="6">
        <f t="shared" si="9"/>
        <v>0.77090047312337251</v>
      </c>
      <c r="AR117" s="6">
        <v>60.666666666666664</v>
      </c>
      <c r="AS117" s="6">
        <v>0.75</v>
      </c>
      <c r="AT117" s="2"/>
      <c r="AU117" s="2">
        <v>308.73022147644826</v>
      </c>
      <c r="AV117" s="2">
        <f t="shared" si="10"/>
        <v>0.54451514657094691</v>
      </c>
    </row>
    <row r="118" spans="1:48" ht="15.6" x14ac:dyDescent="0.25">
      <c r="A118" s="5" t="s">
        <v>114</v>
      </c>
      <c r="B118" s="5" t="s">
        <v>168</v>
      </c>
      <c r="C118" s="6" t="s">
        <v>307</v>
      </c>
      <c r="D118" s="6" t="s">
        <v>178</v>
      </c>
      <c r="E118" s="5" t="s">
        <v>312</v>
      </c>
      <c r="F118" s="6" t="s">
        <v>191</v>
      </c>
      <c r="G118" s="6" t="s">
        <v>316</v>
      </c>
      <c r="H118" s="6">
        <v>65.95</v>
      </c>
      <c r="I118" s="6">
        <v>58.4</v>
      </c>
      <c r="J118" s="6">
        <v>20.76</v>
      </c>
      <c r="K118" s="6">
        <v>80</v>
      </c>
      <c r="L118" s="6">
        <v>175.46</v>
      </c>
      <c r="M118" s="6" t="s">
        <v>196</v>
      </c>
      <c r="N118" s="6">
        <v>15.42</v>
      </c>
      <c r="O118" s="6">
        <v>27.55</v>
      </c>
      <c r="P118" s="6">
        <v>121.3</v>
      </c>
      <c r="Q118" s="6" t="s">
        <v>319</v>
      </c>
      <c r="R118" s="6">
        <v>3</v>
      </c>
      <c r="S118" s="6">
        <f t="shared" si="6"/>
        <v>19</v>
      </c>
      <c r="T118" s="6">
        <v>3</v>
      </c>
      <c r="U118" s="6">
        <v>16</v>
      </c>
      <c r="V118" s="6">
        <v>41.76</v>
      </c>
      <c r="W118" s="6">
        <v>14.185912974871849</v>
      </c>
      <c r="AL118" s="6">
        <f t="shared" si="7"/>
        <v>3</v>
      </c>
      <c r="AM118" s="6">
        <f t="shared" si="8"/>
        <v>19</v>
      </c>
      <c r="AN118" s="6">
        <v>0.68332914137147627</v>
      </c>
      <c r="AQ118" s="6">
        <f t="shared" si="9"/>
        <v>0.68332914137147627</v>
      </c>
      <c r="AR118" s="6">
        <v>68</v>
      </c>
      <c r="AS118" s="6">
        <v>0.5</v>
      </c>
      <c r="AT118" s="2">
        <v>0.21764657704651333</v>
      </c>
      <c r="AU118" s="2">
        <v>59.240372583064833</v>
      </c>
      <c r="AV118" s="2">
        <f t="shared" si="10"/>
        <v>0.23800296363843609</v>
      </c>
    </row>
    <row r="119" spans="1:48" ht="15.6" x14ac:dyDescent="0.25">
      <c r="A119" s="5" t="s">
        <v>115</v>
      </c>
      <c r="B119" s="5" t="s">
        <v>168</v>
      </c>
      <c r="C119" s="6" t="s">
        <v>307</v>
      </c>
      <c r="D119" s="6" t="s">
        <v>171</v>
      </c>
      <c r="E119" s="5" t="s">
        <v>312</v>
      </c>
      <c r="F119" s="6">
        <v>0</v>
      </c>
      <c r="G119" s="6" t="s">
        <v>315</v>
      </c>
      <c r="H119" s="6">
        <v>57.65</v>
      </c>
      <c r="I119" s="6">
        <v>37.72</v>
      </c>
      <c r="J119" s="6">
        <v>23.63</v>
      </c>
      <c r="K119" s="6">
        <v>67.900000000000006</v>
      </c>
      <c r="L119" s="6">
        <v>169.14999999999998</v>
      </c>
      <c r="M119" s="6" t="s">
        <v>196</v>
      </c>
      <c r="N119" s="6">
        <v>17.399999999999999</v>
      </c>
      <c r="O119" s="6">
        <v>26.18</v>
      </c>
      <c r="P119" s="6">
        <v>96</v>
      </c>
      <c r="Q119" s="6" t="s">
        <v>319</v>
      </c>
      <c r="R119" s="6">
        <v>2</v>
      </c>
      <c r="S119" s="6">
        <f t="shared" si="6"/>
        <v>11</v>
      </c>
      <c r="T119" s="6">
        <v>3</v>
      </c>
      <c r="U119" s="6">
        <v>8</v>
      </c>
      <c r="V119" s="6">
        <v>45.11</v>
      </c>
      <c r="W119" s="6">
        <v>6.6488813318914346</v>
      </c>
      <c r="AL119" s="6">
        <f t="shared" si="7"/>
        <v>2</v>
      </c>
      <c r="AM119" s="6">
        <f t="shared" si="8"/>
        <v>11</v>
      </c>
      <c r="AN119" s="6">
        <v>0.28137458027471157</v>
      </c>
      <c r="AQ119" s="6">
        <f t="shared" si="9"/>
        <v>0.28137458027471157</v>
      </c>
      <c r="AR119" s="6">
        <v>56</v>
      </c>
      <c r="AS119" s="6">
        <v>0.5</v>
      </c>
      <c r="AT119" s="2">
        <v>1.0711615186416681E-2</v>
      </c>
      <c r="AU119" s="2">
        <v>29.993103688162261</v>
      </c>
      <c r="AV119" s="2">
        <f t="shared" si="10"/>
        <v>0.26668637304167903</v>
      </c>
    </row>
    <row r="120" spans="1:48" ht="15.6" x14ac:dyDescent="0.25">
      <c r="A120" s="5" t="s">
        <v>116</v>
      </c>
      <c r="B120" s="5" t="s">
        <v>168</v>
      </c>
      <c r="C120" s="6" t="s">
        <v>307</v>
      </c>
      <c r="D120" s="6" t="s">
        <v>186</v>
      </c>
      <c r="E120" s="5" t="s">
        <v>313</v>
      </c>
      <c r="F120" s="6" t="s">
        <v>191</v>
      </c>
      <c r="G120" s="6" t="s">
        <v>316</v>
      </c>
      <c r="H120" s="6">
        <v>59.7</v>
      </c>
      <c r="I120" s="6">
        <v>53.43</v>
      </c>
      <c r="J120" s="6">
        <v>18.7</v>
      </c>
      <c r="K120" s="6">
        <v>62.1</v>
      </c>
      <c r="L120" s="6">
        <v>177.74</v>
      </c>
      <c r="M120" s="6" t="s">
        <v>196</v>
      </c>
      <c r="N120" s="6">
        <v>6.92</v>
      </c>
      <c r="O120" s="6">
        <v>24.34</v>
      </c>
      <c r="P120" s="6">
        <v>117.75</v>
      </c>
      <c r="Q120" s="6" t="s">
        <v>319</v>
      </c>
      <c r="R120" s="6">
        <v>2</v>
      </c>
      <c r="S120" s="6">
        <f t="shared" si="6"/>
        <v>19</v>
      </c>
      <c r="T120" s="6">
        <v>9</v>
      </c>
      <c r="U120" s="6">
        <v>10</v>
      </c>
      <c r="V120" s="6">
        <v>51.13</v>
      </c>
      <c r="W120" s="6">
        <v>7.053223012741995</v>
      </c>
      <c r="X120" s="6" t="s">
        <v>319</v>
      </c>
      <c r="Y120" s="6">
        <v>2</v>
      </c>
      <c r="Z120" s="6">
        <f t="shared" si="11"/>
        <v>13</v>
      </c>
      <c r="AA120" s="6">
        <v>5</v>
      </c>
      <c r="AB120" s="6">
        <v>8</v>
      </c>
      <c r="AC120" s="6">
        <v>32.729999999999997</v>
      </c>
      <c r="AD120" s="6">
        <v>8.9110751180113983</v>
      </c>
      <c r="AL120" s="6">
        <f t="shared" si="7"/>
        <v>2</v>
      </c>
      <c r="AM120" s="6">
        <f t="shared" si="8"/>
        <v>32</v>
      </c>
      <c r="AN120" s="6">
        <v>0.37717770121614946</v>
      </c>
      <c r="AO120" s="6">
        <v>0.47652808117708012</v>
      </c>
      <c r="AQ120" s="6">
        <f t="shared" si="9"/>
        <v>0.42685289119661479</v>
      </c>
      <c r="AR120" s="6">
        <v>61.516666666666666</v>
      </c>
      <c r="AS120" s="6">
        <v>0.5</v>
      </c>
      <c r="AT120" s="2">
        <v>5.2976696697103691E-2</v>
      </c>
      <c r="AU120" s="2">
        <v>133.87660412449796</v>
      </c>
      <c r="AV120" s="2">
        <f t="shared" si="10"/>
        <v>0.47181276021154495</v>
      </c>
    </row>
    <row r="121" spans="1:48" ht="15.6" x14ac:dyDescent="0.25">
      <c r="A121" s="5" t="s">
        <v>117</v>
      </c>
      <c r="B121" s="5" t="s">
        <v>168</v>
      </c>
      <c r="C121" s="6" t="s">
        <v>307</v>
      </c>
      <c r="D121" s="6" t="s">
        <v>172</v>
      </c>
      <c r="E121" s="5" t="s">
        <v>312</v>
      </c>
      <c r="F121" s="6" t="s">
        <v>192</v>
      </c>
      <c r="G121" s="6" t="s">
        <v>316</v>
      </c>
      <c r="H121" s="6">
        <v>70.510000000000005</v>
      </c>
      <c r="I121" s="6">
        <v>65.7</v>
      </c>
      <c r="J121" s="6">
        <v>28.4</v>
      </c>
      <c r="K121" s="6">
        <v>113.2</v>
      </c>
      <c r="L121" s="6">
        <v>202.67</v>
      </c>
      <c r="M121" s="6" t="s">
        <v>196</v>
      </c>
      <c r="N121" s="6">
        <v>25.2</v>
      </c>
      <c r="O121" s="6">
        <v>53.64</v>
      </c>
      <c r="P121" s="6">
        <v>126.05</v>
      </c>
      <c r="Q121" s="6" t="s">
        <v>319</v>
      </c>
      <c r="R121" s="6">
        <v>3</v>
      </c>
      <c r="S121" s="6">
        <f t="shared" si="6"/>
        <v>31</v>
      </c>
      <c r="T121" s="6">
        <v>4</v>
      </c>
      <c r="U121" s="6">
        <v>27</v>
      </c>
      <c r="V121" s="6">
        <v>81.010000000000005</v>
      </c>
      <c r="W121" s="6">
        <v>18.484892444644593</v>
      </c>
      <c r="AL121" s="6">
        <f t="shared" si="7"/>
        <v>3</v>
      </c>
      <c r="AM121" s="6">
        <f t="shared" si="8"/>
        <v>31</v>
      </c>
      <c r="AN121" s="6">
        <v>0.65087649452973928</v>
      </c>
      <c r="AQ121" s="6">
        <f t="shared" si="9"/>
        <v>0.65087649452973928</v>
      </c>
      <c r="AR121" s="6">
        <v>69</v>
      </c>
      <c r="AS121" s="6">
        <v>0.8</v>
      </c>
      <c r="AT121" s="2">
        <v>0.3479329177468799</v>
      </c>
      <c r="AU121" s="2">
        <v>149.74611369406585</v>
      </c>
      <c r="AV121" s="2">
        <f t="shared" si="10"/>
        <v>0.39971382049637344</v>
      </c>
    </row>
    <row r="122" spans="1:48" ht="15.6" x14ac:dyDescent="0.25">
      <c r="A122" s="5" t="s">
        <v>118</v>
      </c>
      <c r="B122" s="5" t="s">
        <v>168</v>
      </c>
      <c r="C122" s="6" t="s">
        <v>307</v>
      </c>
      <c r="D122" s="6" t="s">
        <v>172</v>
      </c>
      <c r="E122" s="5" t="s">
        <v>312</v>
      </c>
      <c r="F122" s="6" t="s">
        <v>191</v>
      </c>
      <c r="G122" s="6" t="s">
        <v>316</v>
      </c>
      <c r="H122" s="6">
        <v>63.98</v>
      </c>
      <c r="I122" s="6">
        <v>51.3</v>
      </c>
      <c r="J122" s="6">
        <v>37.26</v>
      </c>
      <c r="K122" s="6">
        <v>165.4</v>
      </c>
      <c r="L122" s="6">
        <v>191.82</v>
      </c>
      <c r="Q122" s="6" t="s">
        <v>319</v>
      </c>
      <c r="R122" s="6">
        <v>4</v>
      </c>
      <c r="S122" s="6">
        <f t="shared" si="6"/>
        <v>44</v>
      </c>
      <c r="T122" s="6">
        <v>7</v>
      </c>
      <c r="U122" s="6">
        <v>37</v>
      </c>
      <c r="V122" s="6">
        <v>142.27799999999999</v>
      </c>
      <c r="W122" s="6">
        <v>28.650890488652543</v>
      </c>
      <c r="AL122" s="6">
        <f t="shared" si="7"/>
        <v>4</v>
      </c>
      <c r="AM122" s="6">
        <f t="shared" si="8"/>
        <v>44</v>
      </c>
      <c r="AN122" s="6">
        <v>0.76894499432776553</v>
      </c>
      <c r="AQ122" s="6">
        <f t="shared" si="9"/>
        <v>0.76894499432776553</v>
      </c>
      <c r="AR122" s="6">
        <v>73</v>
      </c>
      <c r="AS122" s="6">
        <v>0.41666666666666669</v>
      </c>
      <c r="AT122" s="2">
        <v>0.68410300352599418</v>
      </c>
      <c r="AU122" s="2">
        <v>407.63913969445059</v>
      </c>
      <c r="AV122" s="2">
        <f t="shared" si="10"/>
        <v>0.74172661870503598</v>
      </c>
    </row>
    <row r="123" spans="1:48" ht="15.6" x14ac:dyDescent="0.25">
      <c r="A123" s="5" t="s">
        <v>119</v>
      </c>
      <c r="B123" s="5" t="s">
        <v>168</v>
      </c>
      <c r="C123" s="6" t="s">
        <v>307</v>
      </c>
      <c r="D123" s="6" t="s">
        <v>185</v>
      </c>
      <c r="E123" s="5" t="s">
        <v>313</v>
      </c>
      <c r="F123" s="6">
        <v>0</v>
      </c>
      <c r="G123" s="6" t="s">
        <v>315</v>
      </c>
      <c r="H123" s="6">
        <v>54.1</v>
      </c>
      <c r="I123" s="6">
        <v>44.3</v>
      </c>
      <c r="J123" s="6">
        <v>28.6</v>
      </c>
      <c r="K123" s="6">
        <v>70</v>
      </c>
      <c r="L123" s="6">
        <v>154.54</v>
      </c>
      <c r="M123" s="6" t="s">
        <v>198</v>
      </c>
      <c r="N123" s="6">
        <v>11.94</v>
      </c>
      <c r="O123" s="6">
        <v>33.24</v>
      </c>
      <c r="P123" s="6">
        <v>137.9</v>
      </c>
      <c r="Q123" s="6" t="s">
        <v>320</v>
      </c>
      <c r="R123" s="6">
        <v>3</v>
      </c>
      <c r="S123" s="6">
        <f t="shared" si="6"/>
        <v>15</v>
      </c>
      <c r="T123" s="6">
        <v>2</v>
      </c>
      <c r="U123" s="6">
        <v>13</v>
      </c>
      <c r="V123" s="6">
        <v>39.42</v>
      </c>
      <c r="W123" s="6">
        <v>12.043187501813902</v>
      </c>
      <c r="AL123" s="6">
        <f t="shared" si="7"/>
        <v>3</v>
      </c>
      <c r="AM123" s="6">
        <f t="shared" si="8"/>
        <v>15</v>
      </c>
      <c r="AN123" s="6">
        <v>0.42109047209139516</v>
      </c>
      <c r="AQ123" s="6">
        <f t="shared" si="9"/>
        <v>0.42109047209139516</v>
      </c>
      <c r="AR123" s="6">
        <v>69</v>
      </c>
      <c r="AS123" s="6">
        <v>0.5</v>
      </c>
      <c r="AT123" s="2">
        <v>7.6132234897802145E-2</v>
      </c>
      <c r="AU123" s="2">
        <v>47.474245132150408</v>
      </c>
      <c r="AV123" s="2">
        <f t="shared" si="10"/>
        <v>0.25507959104438982</v>
      </c>
    </row>
    <row r="124" spans="1:48" ht="15.6" x14ac:dyDescent="0.25">
      <c r="A124" s="5" t="s">
        <v>120</v>
      </c>
      <c r="B124" s="5" t="s">
        <v>168</v>
      </c>
      <c r="C124" s="6" t="s">
        <v>307</v>
      </c>
      <c r="D124" s="6" t="s">
        <v>172</v>
      </c>
      <c r="E124" s="5" t="s">
        <v>312</v>
      </c>
      <c r="F124" s="6">
        <v>0</v>
      </c>
      <c r="G124" s="6" t="s">
        <v>315</v>
      </c>
      <c r="H124" s="6">
        <v>53.3</v>
      </c>
      <c r="I124" s="6">
        <v>52.5</v>
      </c>
      <c r="J124" s="6">
        <v>25.3</v>
      </c>
      <c r="K124" s="6">
        <v>89.8</v>
      </c>
      <c r="L124" s="6">
        <v>158.82</v>
      </c>
      <c r="Q124" s="6" t="s">
        <v>319</v>
      </c>
      <c r="R124" s="6">
        <v>3</v>
      </c>
      <c r="S124" s="6">
        <f t="shared" si="6"/>
        <v>16</v>
      </c>
      <c r="T124" s="6">
        <v>4</v>
      </c>
      <c r="U124" s="6">
        <v>12</v>
      </c>
      <c r="V124" s="6">
        <v>52.47</v>
      </c>
      <c r="W124" s="6">
        <v>25.249537227980749</v>
      </c>
      <c r="AL124" s="6">
        <f t="shared" si="7"/>
        <v>3</v>
      </c>
      <c r="AM124" s="6">
        <f t="shared" si="8"/>
        <v>16</v>
      </c>
      <c r="AN124" s="6">
        <v>0.99800542403085957</v>
      </c>
      <c r="AQ124" s="6">
        <f t="shared" si="9"/>
        <v>0.99800542403085957</v>
      </c>
      <c r="AR124" s="6">
        <v>75.333333333333329</v>
      </c>
      <c r="AS124" s="6">
        <v>0.5</v>
      </c>
      <c r="AT124" s="2"/>
      <c r="AU124" s="2">
        <v>132.48432183521498</v>
      </c>
      <c r="AV124" s="2">
        <f t="shared" si="10"/>
        <v>0.33037400831129582</v>
      </c>
    </row>
    <row r="125" spans="1:48" ht="15.6" x14ac:dyDescent="0.25">
      <c r="A125" s="5" t="s">
        <v>269</v>
      </c>
      <c r="B125" s="5" t="s">
        <v>168</v>
      </c>
      <c r="C125" s="6" t="s">
        <v>307</v>
      </c>
      <c r="D125" s="6" t="s">
        <v>172</v>
      </c>
      <c r="E125" s="5" t="s">
        <v>312</v>
      </c>
      <c r="F125" s="6">
        <v>0</v>
      </c>
      <c r="G125" s="6" t="s">
        <v>315</v>
      </c>
      <c r="H125" s="6">
        <v>37</v>
      </c>
      <c r="I125" s="6">
        <v>23.2</v>
      </c>
      <c r="J125" s="6">
        <v>21.21</v>
      </c>
      <c r="K125" s="6">
        <v>23.7</v>
      </c>
      <c r="L125" s="6">
        <v>98.789999999999992</v>
      </c>
      <c r="Q125" s="6" t="s">
        <v>319</v>
      </c>
      <c r="R125" s="6">
        <v>2</v>
      </c>
      <c r="S125" s="6">
        <f t="shared" si="6"/>
        <v>13</v>
      </c>
      <c r="T125" s="6">
        <v>0</v>
      </c>
      <c r="U125" s="6">
        <v>13</v>
      </c>
      <c r="V125" s="6">
        <v>50.91</v>
      </c>
      <c r="W125" s="6">
        <v>8.0598872825196981</v>
      </c>
      <c r="AL125" s="6">
        <f t="shared" si="7"/>
        <v>2</v>
      </c>
      <c r="AM125" s="6">
        <f t="shared" si="8"/>
        <v>13</v>
      </c>
      <c r="AN125" s="6">
        <v>0.38000411515887306</v>
      </c>
      <c r="AQ125" s="6">
        <f t="shared" si="9"/>
        <v>0.38000411515887306</v>
      </c>
      <c r="AR125" s="6">
        <v>66.333333333333329</v>
      </c>
      <c r="AS125" s="6">
        <v>0.5</v>
      </c>
      <c r="AT125" s="2">
        <v>4.7005437130110198E-2</v>
      </c>
      <c r="AU125" s="2">
        <v>41.032886155307779</v>
      </c>
      <c r="AV125" s="2">
        <f t="shared" si="10"/>
        <v>0.51533556027938054</v>
      </c>
    </row>
    <row r="126" spans="1:48" ht="15.6" x14ac:dyDescent="0.25">
      <c r="A126" s="5" t="s">
        <v>121</v>
      </c>
      <c r="B126" s="5" t="s">
        <v>168</v>
      </c>
      <c r="C126" s="6" t="s">
        <v>307</v>
      </c>
      <c r="D126" s="6" t="s">
        <v>310</v>
      </c>
      <c r="E126" s="5" t="s">
        <v>312</v>
      </c>
      <c r="F126" s="6">
        <v>0</v>
      </c>
      <c r="G126" s="6" t="s">
        <v>315</v>
      </c>
      <c r="H126" s="6">
        <v>71.099999999999994</v>
      </c>
      <c r="I126" s="6">
        <v>58.2</v>
      </c>
      <c r="J126" s="6">
        <v>32.200000000000003</v>
      </c>
      <c r="K126" s="6">
        <v>137</v>
      </c>
      <c r="L126" s="6">
        <v>180.51999999999998</v>
      </c>
      <c r="Q126" s="6" t="s">
        <v>320</v>
      </c>
      <c r="R126" s="6">
        <v>3</v>
      </c>
      <c r="S126" s="6">
        <f t="shared" si="6"/>
        <v>19</v>
      </c>
      <c r="T126" s="6">
        <v>2</v>
      </c>
      <c r="U126" s="6">
        <v>17</v>
      </c>
      <c r="V126" s="6">
        <v>68.66</v>
      </c>
      <c r="W126" s="6">
        <v>14.318826673198785</v>
      </c>
      <c r="AL126" s="6">
        <f t="shared" si="7"/>
        <v>3</v>
      </c>
      <c r="AM126" s="6">
        <f t="shared" si="8"/>
        <v>19</v>
      </c>
      <c r="AN126" s="6">
        <v>0.4446840581738753</v>
      </c>
      <c r="AQ126" s="6">
        <f t="shared" si="9"/>
        <v>0.4446840581738753</v>
      </c>
      <c r="AR126" s="6">
        <v>67.666666666666671</v>
      </c>
      <c r="AS126" s="6">
        <v>0.6</v>
      </c>
      <c r="AT126" s="2">
        <v>0.17873653200368889</v>
      </c>
      <c r="AU126" s="2">
        <v>98.313063938182864</v>
      </c>
      <c r="AV126" s="2">
        <f t="shared" si="10"/>
        <v>0.38034566807001996</v>
      </c>
    </row>
    <row r="127" spans="1:48" ht="15.6" x14ac:dyDescent="0.25">
      <c r="A127" s="5" t="s">
        <v>122</v>
      </c>
      <c r="B127" s="5" t="s">
        <v>168</v>
      </c>
      <c r="C127" s="6" t="s">
        <v>307</v>
      </c>
      <c r="D127" s="6" t="s">
        <v>310</v>
      </c>
      <c r="E127" s="5" t="s">
        <v>314</v>
      </c>
      <c r="F127" s="6">
        <v>0</v>
      </c>
      <c r="G127" s="6" t="s">
        <v>315</v>
      </c>
      <c r="H127" s="6">
        <v>51.56</v>
      </c>
      <c r="I127" s="6">
        <v>39.93</v>
      </c>
      <c r="J127" s="6">
        <v>20.6</v>
      </c>
      <c r="K127" s="6">
        <v>51.4</v>
      </c>
      <c r="L127" s="6">
        <v>161.92999999999998</v>
      </c>
      <c r="Q127" s="6" t="s">
        <v>320</v>
      </c>
      <c r="R127" s="6">
        <v>3</v>
      </c>
      <c r="S127" s="6">
        <f t="shared" si="6"/>
        <v>14</v>
      </c>
      <c r="T127" s="6">
        <v>2</v>
      </c>
      <c r="U127" s="6">
        <v>12</v>
      </c>
      <c r="V127" s="6">
        <v>34.93</v>
      </c>
      <c r="W127" s="6">
        <v>17.684486397343925</v>
      </c>
      <c r="X127" s="6" t="s">
        <v>320</v>
      </c>
      <c r="Y127" s="6">
        <v>2</v>
      </c>
      <c r="Z127" s="6">
        <f t="shared" si="11"/>
        <v>6</v>
      </c>
      <c r="AA127" s="6">
        <v>0</v>
      </c>
      <c r="AB127" s="6">
        <v>6</v>
      </c>
      <c r="AC127" s="6">
        <v>34.14</v>
      </c>
      <c r="AD127" s="6">
        <v>14.603596931447349</v>
      </c>
      <c r="AE127" s="6" t="s">
        <v>320</v>
      </c>
      <c r="AF127" s="6">
        <v>2</v>
      </c>
      <c r="AG127" s="6">
        <f>AH127+AI127</f>
        <v>8</v>
      </c>
      <c r="AH127" s="6">
        <v>4</v>
      </c>
      <c r="AI127" s="6">
        <v>4</v>
      </c>
      <c r="AJ127" s="6">
        <v>31.479999999999997</v>
      </c>
      <c r="AK127" s="6">
        <v>15.633778798885512</v>
      </c>
      <c r="AL127" s="6">
        <f t="shared" si="7"/>
        <v>2.3333333333333335</v>
      </c>
      <c r="AM127" s="6">
        <f t="shared" si="8"/>
        <v>28</v>
      </c>
      <c r="AN127" s="6">
        <v>0.85847021346329722</v>
      </c>
      <c r="AO127" s="6">
        <v>0.70891247240035671</v>
      </c>
      <c r="AP127" s="6">
        <v>0.75892130091677235</v>
      </c>
      <c r="AQ127" s="6">
        <f t="shared" si="9"/>
        <v>0.77543466226014213</v>
      </c>
      <c r="AR127" s="6">
        <v>65.444444444444443</v>
      </c>
      <c r="AS127" s="6">
        <v>0.6875</v>
      </c>
      <c r="AT127" s="2">
        <v>0.65404588189793289</v>
      </c>
      <c r="AU127" s="2">
        <v>481.85432369379004</v>
      </c>
      <c r="AV127" s="2">
        <f t="shared" si="10"/>
        <v>0.62094732291730992</v>
      </c>
    </row>
    <row r="128" spans="1:48" ht="15.6" x14ac:dyDescent="0.25">
      <c r="A128" s="5" t="s">
        <v>123</v>
      </c>
      <c r="B128" s="5" t="s">
        <v>168</v>
      </c>
      <c r="C128" s="6" t="s">
        <v>307</v>
      </c>
      <c r="D128" s="6" t="s">
        <v>187</v>
      </c>
      <c r="E128" s="5" t="s">
        <v>314</v>
      </c>
      <c r="F128" s="6" t="s">
        <v>192</v>
      </c>
      <c r="G128" s="6" t="s">
        <v>317</v>
      </c>
      <c r="H128" s="6">
        <v>54.86</v>
      </c>
      <c r="I128" s="6">
        <v>45.94</v>
      </c>
      <c r="J128" s="6">
        <v>29.79</v>
      </c>
      <c r="K128" s="6">
        <v>93.3</v>
      </c>
      <c r="L128" s="6">
        <v>177.07</v>
      </c>
      <c r="M128" s="6" t="s">
        <v>196</v>
      </c>
      <c r="N128" s="6">
        <v>14.72</v>
      </c>
      <c r="O128" s="6">
        <v>37.5</v>
      </c>
      <c r="P128" s="6">
        <v>138</v>
      </c>
      <c r="Q128" s="6" t="s">
        <v>319</v>
      </c>
      <c r="R128" s="6">
        <v>3</v>
      </c>
      <c r="S128" s="6">
        <f t="shared" si="6"/>
        <v>12</v>
      </c>
      <c r="T128" s="6">
        <v>3</v>
      </c>
      <c r="U128" s="6">
        <v>9</v>
      </c>
      <c r="V128" s="6">
        <v>60.72</v>
      </c>
      <c r="W128" s="6">
        <v>29.180145508478052</v>
      </c>
      <c r="X128" s="6" t="s">
        <v>319</v>
      </c>
      <c r="Y128" s="6">
        <v>3</v>
      </c>
      <c r="Z128" s="6">
        <f t="shared" si="11"/>
        <v>14</v>
      </c>
      <c r="AA128" s="6">
        <v>2</v>
      </c>
      <c r="AB128" s="6">
        <v>12</v>
      </c>
      <c r="AC128" s="6">
        <v>60.97</v>
      </c>
      <c r="AD128" s="6">
        <v>22.416314404959227</v>
      </c>
      <c r="AE128" s="6" t="s">
        <v>319</v>
      </c>
      <c r="AF128" s="6">
        <v>4</v>
      </c>
      <c r="AG128" s="6">
        <f t="shared" ref="AG128:AG155" si="12">AH128+AI128</f>
        <v>17</v>
      </c>
      <c r="AH128" s="6">
        <v>1</v>
      </c>
      <c r="AI128" s="6">
        <v>16</v>
      </c>
      <c r="AJ128" s="6">
        <v>32.409999999999997</v>
      </c>
      <c r="AK128" s="6">
        <v>27.614083259533793</v>
      </c>
      <c r="AL128" s="6">
        <f t="shared" si="7"/>
        <v>3.3333333333333335</v>
      </c>
      <c r="AM128" s="6">
        <f t="shared" si="8"/>
        <v>43</v>
      </c>
      <c r="AN128" s="6">
        <v>0.97952821445042138</v>
      </c>
      <c r="AO128" s="6">
        <v>0.7524778249398868</v>
      </c>
      <c r="AP128" s="6">
        <v>0.92695814902765339</v>
      </c>
      <c r="AQ128" s="6">
        <f t="shared" si="9"/>
        <v>0.88632139613932048</v>
      </c>
      <c r="AR128" s="6">
        <v>75.344444444444449</v>
      </c>
      <c r="AS128" s="6">
        <v>0.5</v>
      </c>
      <c r="AT128" s="2"/>
      <c r="AU128" s="2">
        <v>1220.6344702954843</v>
      </c>
      <c r="AV128" s="2">
        <f t="shared" si="10"/>
        <v>0.87027729146665156</v>
      </c>
    </row>
    <row r="129" spans="1:48" ht="15.6" x14ac:dyDescent="0.25">
      <c r="A129" s="5" t="s">
        <v>124</v>
      </c>
      <c r="B129" s="5" t="s">
        <v>169</v>
      </c>
      <c r="C129" s="6" t="s">
        <v>307</v>
      </c>
      <c r="D129" s="6" t="s">
        <v>187</v>
      </c>
      <c r="E129" s="5" t="s">
        <v>314</v>
      </c>
      <c r="F129" s="6" t="s">
        <v>191</v>
      </c>
      <c r="G129" s="6" t="s">
        <v>316</v>
      </c>
      <c r="H129" s="6">
        <v>48.5</v>
      </c>
      <c r="I129" s="6">
        <v>42.82</v>
      </c>
      <c r="J129" s="6">
        <v>21.87</v>
      </c>
      <c r="K129" s="6">
        <v>43.5</v>
      </c>
      <c r="L129" s="6">
        <v>135.01</v>
      </c>
      <c r="M129" s="6" t="s">
        <v>196</v>
      </c>
      <c r="N129" s="6">
        <v>16.23</v>
      </c>
      <c r="O129" s="6">
        <v>48.25</v>
      </c>
      <c r="P129" s="6">
        <v>138</v>
      </c>
      <c r="Q129" s="6" t="s">
        <v>319</v>
      </c>
      <c r="R129" s="6">
        <v>4</v>
      </c>
      <c r="S129" s="6">
        <f t="shared" si="6"/>
        <v>26</v>
      </c>
      <c r="T129" s="6">
        <v>5</v>
      </c>
      <c r="U129" s="6">
        <v>21</v>
      </c>
      <c r="V129" s="6">
        <v>56.260000000000005</v>
      </c>
      <c r="W129" s="6">
        <v>19.723455782677814</v>
      </c>
      <c r="X129" s="6" t="s">
        <v>320</v>
      </c>
      <c r="Y129" s="6">
        <v>4</v>
      </c>
      <c r="Z129" s="6">
        <f t="shared" si="11"/>
        <v>24</v>
      </c>
      <c r="AA129" s="6">
        <v>0</v>
      </c>
      <c r="AB129" s="6">
        <v>24</v>
      </c>
      <c r="AC129" s="6">
        <v>31.86</v>
      </c>
      <c r="AD129" s="6">
        <v>7.7072672124512112</v>
      </c>
      <c r="AE129" s="6" t="s">
        <v>319</v>
      </c>
      <c r="AF129" s="6">
        <v>4</v>
      </c>
      <c r="AG129" s="6">
        <f t="shared" si="12"/>
        <v>15</v>
      </c>
      <c r="AH129" s="6">
        <v>0</v>
      </c>
      <c r="AI129" s="6">
        <v>15</v>
      </c>
      <c r="AJ129" s="6">
        <v>50.47</v>
      </c>
      <c r="AK129" s="6">
        <v>15.161016028135364</v>
      </c>
      <c r="AL129" s="6">
        <f t="shared" si="7"/>
        <v>4</v>
      </c>
      <c r="AM129" s="6">
        <f t="shared" si="8"/>
        <v>65</v>
      </c>
      <c r="AN129" s="6">
        <v>0.90184983002642038</v>
      </c>
      <c r="AO129" s="6">
        <v>0.35241276691592183</v>
      </c>
      <c r="AP129" s="6">
        <v>0.69323347179402672</v>
      </c>
      <c r="AQ129" s="6">
        <f t="shared" si="9"/>
        <v>0.64916535624545635</v>
      </c>
      <c r="AR129" s="6">
        <v>72.8888888888889</v>
      </c>
      <c r="AS129" s="6">
        <v>0.75</v>
      </c>
      <c r="AT129" s="2">
        <v>0.7929367016243033</v>
      </c>
      <c r="AU129" s="2">
        <v>590.27891112342115</v>
      </c>
      <c r="AV129" s="2">
        <f t="shared" si="10"/>
        <v>1.0265165543293091</v>
      </c>
    </row>
    <row r="130" spans="1:48" ht="15.6" x14ac:dyDescent="0.25">
      <c r="A130" s="5" t="s">
        <v>125</v>
      </c>
      <c r="B130" s="5" t="s">
        <v>168</v>
      </c>
      <c r="C130" s="6" t="s">
        <v>307</v>
      </c>
      <c r="D130" s="6" t="s">
        <v>311</v>
      </c>
      <c r="E130" s="5" t="s">
        <v>314</v>
      </c>
      <c r="F130" s="6">
        <v>0</v>
      </c>
      <c r="G130" s="6" t="s">
        <v>315</v>
      </c>
      <c r="H130" s="6">
        <v>72.31</v>
      </c>
      <c r="I130" s="6">
        <v>71.89</v>
      </c>
      <c r="J130" s="6">
        <v>24.3</v>
      </c>
      <c r="K130" s="6">
        <v>150</v>
      </c>
      <c r="L130" s="6">
        <v>220.98000000000002</v>
      </c>
      <c r="Q130" s="6" t="s">
        <v>319</v>
      </c>
      <c r="R130" s="6">
        <v>3</v>
      </c>
      <c r="S130" s="6">
        <f t="shared" si="6"/>
        <v>27</v>
      </c>
      <c r="T130" s="6">
        <v>4</v>
      </c>
      <c r="U130" s="6">
        <v>23</v>
      </c>
      <c r="V130" s="6">
        <v>81.929999999999993</v>
      </c>
      <c r="W130" s="6">
        <v>22.046368726195382</v>
      </c>
      <c r="X130" s="6" t="s">
        <v>319</v>
      </c>
      <c r="Y130" s="6">
        <v>3</v>
      </c>
      <c r="Z130" s="6">
        <f t="shared" si="11"/>
        <v>24</v>
      </c>
      <c r="AA130" s="6">
        <v>5</v>
      </c>
      <c r="AB130" s="6">
        <v>19</v>
      </c>
      <c r="AC130" s="6">
        <v>76.11</v>
      </c>
      <c r="AD130" s="6">
        <v>18.246566222391351</v>
      </c>
      <c r="AE130" s="6" t="s">
        <v>320</v>
      </c>
      <c r="AF130" s="6">
        <v>4</v>
      </c>
      <c r="AG130" s="6">
        <f t="shared" si="12"/>
        <v>26</v>
      </c>
      <c r="AH130" s="6">
        <v>3</v>
      </c>
      <c r="AI130" s="6">
        <v>23</v>
      </c>
      <c r="AJ130" s="6">
        <v>71.61</v>
      </c>
      <c r="AK130" s="6">
        <v>21.937802575723325</v>
      </c>
      <c r="AL130" s="6">
        <f t="shared" si="7"/>
        <v>3.3333333333333335</v>
      </c>
      <c r="AM130" s="6">
        <f t="shared" si="8"/>
        <v>77</v>
      </c>
      <c r="AN130" s="6">
        <v>0.90725797227141491</v>
      </c>
      <c r="AO130" s="6">
        <v>0.75088749886384154</v>
      </c>
      <c r="AP130" s="6">
        <v>0.90279022945363474</v>
      </c>
      <c r="AQ130" s="6">
        <f t="shared" si="9"/>
        <v>0.8536452335296304</v>
      </c>
      <c r="AR130" s="6">
        <v>63.788888888888891</v>
      </c>
      <c r="AS130" s="6">
        <v>0.8125</v>
      </c>
      <c r="AT130" s="2">
        <v>0.77365080998634783</v>
      </c>
      <c r="AU130" s="2">
        <v>1429.1288872457803</v>
      </c>
      <c r="AV130" s="2">
        <f t="shared" si="10"/>
        <v>1.0392343198479499</v>
      </c>
    </row>
    <row r="131" spans="1:48" ht="15.6" x14ac:dyDescent="0.25">
      <c r="A131" s="5" t="s">
        <v>126</v>
      </c>
      <c r="B131" s="5" t="s">
        <v>168</v>
      </c>
      <c r="C131" s="6" t="s">
        <v>307</v>
      </c>
      <c r="D131" s="6" t="s">
        <v>175</v>
      </c>
      <c r="E131" s="5" t="s">
        <v>313</v>
      </c>
      <c r="F131" s="6">
        <v>0</v>
      </c>
      <c r="G131" s="6" t="s">
        <v>315</v>
      </c>
      <c r="H131" s="6">
        <v>76.510000000000005</v>
      </c>
      <c r="I131" s="6">
        <v>54.85</v>
      </c>
      <c r="J131" s="6">
        <v>27.66</v>
      </c>
      <c r="K131" s="6">
        <v>150.9</v>
      </c>
      <c r="L131" s="6">
        <v>213.77</v>
      </c>
      <c r="Q131" s="6" t="s">
        <v>319</v>
      </c>
      <c r="R131" s="6">
        <v>3</v>
      </c>
      <c r="S131" s="6">
        <f t="shared" ref="S131:S167" si="13">T131+U131</f>
        <v>14</v>
      </c>
      <c r="T131" s="6">
        <v>2</v>
      </c>
      <c r="U131" s="6">
        <v>12</v>
      </c>
      <c r="V131" s="6">
        <v>80.490000000000009</v>
      </c>
      <c r="W131" s="6">
        <v>27.508686717113946</v>
      </c>
      <c r="X131" s="6" t="s">
        <v>319</v>
      </c>
      <c r="Y131" s="6">
        <v>2</v>
      </c>
      <c r="Z131" s="6">
        <f t="shared" si="11"/>
        <v>4</v>
      </c>
      <c r="AA131" s="6">
        <v>0</v>
      </c>
      <c r="AB131" s="6">
        <v>4</v>
      </c>
      <c r="AC131" s="6">
        <v>54.21</v>
      </c>
      <c r="AD131" s="6">
        <v>19.192219804649216</v>
      </c>
      <c r="AL131" s="6">
        <f t="shared" ref="AL131:AL167" si="14">AVERAGE(R131,Y131,AF131)</f>
        <v>2.5</v>
      </c>
      <c r="AM131" s="6">
        <f t="shared" ref="AM131:AM167" si="15">S131+Z131+AG131</f>
        <v>18</v>
      </c>
      <c r="AN131" s="6">
        <v>0.99452952701062713</v>
      </c>
      <c r="AO131" s="6">
        <v>0.6938618873698198</v>
      </c>
      <c r="AQ131" s="6">
        <f t="shared" ref="AQ131:AQ167" si="16">AVERAGE(AN131:AP131)</f>
        <v>0.84419570719022352</v>
      </c>
      <c r="AR131" s="6">
        <v>62.166666666666664</v>
      </c>
      <c r="AS131" s="6">
        <v>1</v>
      </c>
      <c r="AT131" s="2"/>
      <c r="AU131" s="2">
        <v>629.06121084814981</v>
      </c>
      <c r="AV131" s="2">
        <f t="shared" ref="AV131:AV167" si="17">(V131+AC131+AJ131)/L131</f>
        <v>0.63011648032932599</v>
      </c>
    </row>
    <row r="132" spans="1:48" ht="15.6" x14ac:dyDescent="0.25">
      <c r="A132" s="5" t="s">
        <v>127</v>
      </c>
      <c r="B132" s="5" t="s">
        <v>168</v>
      </c>
      <c r="C132" s="6" t="s">
        <v>307</v>
      </c>
      <c r="D132" s="6" t="s">
        <v>187</v>
      </c>
      <c r="E132" s="5" t="s">
        <v>314</v>
      </c>
      <c r="F132" s="6">
        <v>0</v>
      </c>
      <c r="G132" s="6" t="s">
        <v>315</v>
      </c>
      <c r="H132" s="6">
        <v>43.76</v>
      </c>
      <c r="I132" s="6">
        <v>30.24</v>
      </c>
      <c r="J132" s="6">
        <v>23.5</v>
      </c>
      <c r="K132" s="6">
        <v>24.1</v>
      </c>
      <c r="L132" s="6">
        <v>100.07</v>
      </c>
      <c r="Q132" s="6" t="s">
        <v>319</v>
      </c>
      <c r="R132" s="6">
        <v>3</v>
      </c>
      <c r="S132" s="6">
        <f t="shared" si="13"/>
        <v>12</v>
      </c>
      <c r="T132" s="6">
        <v>0</v>
      </c>
      <c r="U132" s="6">
        <v>12</v>
      </c>
      <c r="V132" s="6">
        <v>46.239999999999995</v>
      </c>
      <c r="W132" s="6">
        <v>22.754996225217404</v>
      </c>
      <c r="X132" s="6" t="s">
        <v>319</v>
      </c>
      <c r="Y132" s="6">
        <v>4</v>
      </c>
      <c r="Z132" s="6">
        <f t="shared" si="11"/>
        <v>17</v>
      </c>
      <c r="AA132" s="6">
        <v>2</v>
      </c>
      <c r="AB132" s="6">
        <v>15</v>
      </c>
      <c r="AC132" s="6">
        <v>37.75</v>
      </c>
      <c r="AD132" s="6">
        <v>21.898365595563895</v>
      </c>
      <c r="AE132" s="6" t="s">
        <v>319</v>
      </c>
      <c r="AF132" s="6">
        <v>4</v>
      </c>
      <c r="AG132" s="6">
        <f t="shared" si="12"/>
        <v>17</v>
      </c>
      <c r="AH132" s="6">
        <v>2</v>
      </c>
      <c r="AI132" s="6">
        <v>15</v>
      </c>
      <c r="AJ132" s="6">
        <v>25.16</v>
      </c>
      <c r="AK132" s="6">
        <v>18.300770099567362</v>
      </c>
      <c r="AL132" s="6">
        <f t="shared" si="14"/>
        <v>3.6666666666666665</v>
      </c>
      <c r="AM132" s="6">
        <f t="shared" si="15"/>
        <v>46</v>
      </c>
      <c r="AN132" s="6">
        <v>0.96829771171137891</v>
      </c>
      <c r="AO132" s="6">
        <v>0.93184534449208067</v>
      </c>
      <c r="AP132" s="6">
        <v>0.77875617444967504</v>
      </c>
      <c r="AQ132" s="6">
        <f t="shared" si="16"/>
        <v>0.89296641021771161</v>
      </c>
      <c r="AR132" s="6">
        <v>70.544444444444437</v>
      </c>
      <c r="AS132" s="6">
        <v>1</v>
      </c>
      <c r="AT132" s="2"/>
      <c r="AU132" s="2">
        <v>687.14434991060557</v>
      </c>
      <c r="AV132" s="2">
        <f t="shared" si="17"/>
        <v>1.0907364844608773</v>
      </c>
    </row>
    <row r="133" spans="1:48" ht="15.6" x14ac:dyDescent="0.25">
      <c r="A133" s="5" t="s">
        <v>128</v>
      </c>
      <c r="B133" s="5" t="s">
        <v>168</v>
      </c>
      <c r="C133" s="6" t="s">
        <v>307</v>
      </c>
      <c r="D133" s="6" t="s">
        <v>185</v>
      </c>
      <c r="E133" s="5" t="s">
        <v>313</v>
      </c>
      <c r="F133" s="6" t="s">
        <v>192</v>
      </c>
      <c r="G133" s="6" t="s">
        <v>190</v>
      </c>
      <c r="H133" s="6">
        <v>80.53</v>
      </c>
      <c r="I133" s="6">
        <v>66.02</v>
      </c>
      <c r="J133" s="6">
        <v>36.5</v>
      </c>
      <c r="K133" s="6">
        <v>239.2</v>
      </c>
      <c r="L133" s="6">
        <v>231.53999999999996</v>
      </c>
      <c r="M133" s="6" t="s">
        <v>197</v>
      </c>
      <c r="N133" s="6">
        <v>16.37</v>
      </c>
      <c r="O133" s="6">
        <v>76.12</v>
      </c>
      <c r="P133" s="6">
        <v>128</v>
      </c>
      <c r="Q133" s="6" t="s">
        <v>319</v>
      </c>
      <c r="R133" s="6">
        <v>2</v>
      </c>
      <c r="S133" s="6">
        <f t="shared" si="13"/>
        <v>11</v>
      </c>
      <c r="T133" s="6">
        <v>2</v>
      </c>
      <c r="U133" s="6">
        <v>9</v>
      </c>
      <c r="V133" s="6">
        <v>80</v>
      </c>
      <c r="W133" s="6">
        <v>29.374636853482713</v>
      </c>
      <c r="X133" s="6" t="s">
        <v>319</v>
      </c>
      <c r="Y133" s="6">
        <v>2</v>
      </c>
      <c r="Z133" s="6">
        <f t="shared" si="11"/>
        <v>9</v>
      </c>
      <c r="AA133" s="6">
        <v>2</v>
      </c>
      <c r="AB133" s="6">
        <v>7</v>
      </c>
      <c r="AC133" s="6">
        <v>53.02</v>
      </c>
      <c r="AD133" s="6">
        <v>30.981584280864471</v>
      </c>
      <c r="AL133" s="6">
        <f t="shared" si="14"/>
        <v>2</v>
      </c>
      <c r="AM133" s="6">
        <f t="shared" si="15"/>
        <v>20</v>
      </c>
      <c r="AN133" s="6">
        <v>0.80478457132829351</v>
      </c>
      <c r="AO133" s="6">
        <v>0.84881052824286218</v>
      </c>
      <c r="AQ133" s="6">
        <f t="shared" si="16"/>
        <v>0.82679754978557785</v>
      </c>
      <c r="AR133" s="6">
        <v>74.183333333333337</v>
      </c>
      <c r="AS133" s="6">
        <v>0.6</v>
      </c>
      <c r="AT133" s="2">
        <v>0.52235953816856673</v>
      </c>
      <c r="AU133" s="2">
        <v>802.85845352908632</v>
      </c>
      <c r="AV133" s="2">
        <f t="shared" si="17"/>
        <v>0.57450116610520874</v>
      </c>
    </row>
    <row r="134" spans="1:48" ht="15.6" x14ac:dyDescent="0.25">
      <c r="A134" s="5" t="s">
        <v>129</v>
      </c>
      <c r="B134" s="5" t="s">
        <v>168</v>
      </c>
      <c r="C134" s="6" t="s">
        <v>307</v>
      </c>
      <c r="D134" s="6" t="s">
        <v>185</v>
      </c>
      <c r="E134" s="5" t="s">
        <v>313</v>
      </c>
      <c r="F134" s="6" t="s">
        <v>192</v>
      </c>
      <c r="G134" s="6" t="s">
        <v>316</v>
      </c>
      <c r="H134" s="6">
        <v>60.43</v>
      </c>
      <c r="I134" s="6">
        <v>59.05</v>
      </c>
      <c r="J134" s="6">
        <v>31.87</v>
      </c>
      <c r="K134" s="6">
        <v>129.4</v>
      </c>
      <c r="L134" s="6">
        <v>155.94</v>
      </c>
      <c r="M134" s="6" t="s">
        <v>196</v>
      </c>
      <c r="N134" s="6">
        <v>27.47</v>
      </c>
      <c r="O134" s="6">
        <v>48.62</v>
      </c>
      <c r="P134" s="6">
        <v>119</v>
      </c>
      <c r="Q134" s="6" t="s">
        <v>319</v>
      </c>
      <c r="R134" s="6">
        <v>4</v>
      </c>
      <c r="S134" s="6">
        <f t="shared" si="13"/>
        <v>20</v>
      </c>
      <c r="T134" s="6">
        <v>4</v>
      </c>
      <c r="U134" s="6">
        <v>16</v>
      </c>
      <c r="V134" s="6">
        <v>49.959999999999994</v>
      </c>
      <c r="W134" s="6">
        <v>31.066851608554792</v>
      </c>
      <c r="X134" s="6" t="s">
        <v>319</v>
      </c>
      <c r="Y134" s="6">
        <v>3</v>
      </c>
      <c r="Z134" s="6">
        <f t="shared" ref="Z134:Z161" si="18">AA134+AB134</f>
        <v>19</v>
      </c>
      <c r="AA134" s="6">
        <v>4</v>
      </c>
      <c r="AB134" s="6">
        <v>15</v>
      </c>
      <c r="AC134" s="6">
        <v>53.8</v>
      </c>
      <c r="AD134" s="6">
        <v>20.069451848531756</v>
      </c>
      <c r="AL134" s="6">
        <f t="shared" si="14"/>
        <v>3.5</v>
      </c>
      <c r="AM134" s="6">
        <f t="shared" si="15"/>
        <v>39</v>
      </c>
      <c r="AN134" s="6">
        <v>0.97479923465813589</v>
      </c>
      <c r="AO134" s="6">
        <v>0.62972864287831054</v>
      </c>
      <c r="AQ134" s="6">
        <f t="shared" si="16"/>
        <v>0.80226393876822322</v>
      </c>
      <c r="AR134" s="6">
        <v>92.166666666666657</v>
      </c>
      <c r="AS134" s="6">
        <v>0.6</v>
      </c>
      <c r="AT134" s="2"/>
      <c r="AU134" s="2">
        <v>530.59028467072994</v>
      </c>
      <c r="AV134" s="2">
        <f t="shared" si="17"/>
        <v>0.66538412209824283</v>
      </c>
    </row>
    <row r="135" spans="1:48" ht="15.6" x14ac:dyDescent="0.25">
      <c r="A135" s="5" t="s">
        <v>130</v>
      </c>
      <c r="B135" s="5" t="s">
        <v>168</v>
      </c>
      <c r="C135" s="6" t="s">
        <v>307</v>
      </c>
      <c r="D135" s="6" t="s">
        <v>187</v>
      </c>
      <c r="E135" s="5" t="s">
        <v>314</v>
      </c>
      <c r="F135" s="6" t="s">
        <v>192</v>
      </c>
      <c r="G135" s="6" t="s">
        <v>317</v>
      </c>
      <c r="H135" s="6">
        <v>60.09</v>
      </c>
      <c r="I135" s="6">
        <v>49.5</v>
      </c>
      <c r="J135" s="6">
        <v>26.76</v>
      </c>
      <c r="K135" s="6">
        <v>88.2</v>
      </c>
      <c r="L135" s="6">
        <v>148.70999999999998</v>
      </c>
      <c r="M135" s="6" t="s">
        <v>197</v>
      </c>
      <c r="N135" s="6">
        <v>27.05</v>
      </c>
      <c r="O135" s="6">
        <v>34.6</v>
      </c>
      <c r="P135" s="6">
        <v>91</v>
      </c>
      <c r="Q135" s="6" t="s">
        <v>319</v>
      </c>
      <c r="R135" s="6">
        <v>3</v>
      </c>
      <c r="S135" s="6">
        <f t="shared" si="13"/>
        <v>15</v>
      </c>
      <c r="T135" s="6">
        <v>3</v>
      </c>
      <c r="U135" s="6">
        <v>12</v>
      </c>
      <c r="V135" s="6">
        <v>44.08</v>
      </c>
      <c r="W135" s="6">
        <v>17.61742713148184</v>
      </c>
      <c r="X135" s="6" t="s">
        <v>319</v>
      </c>
      <c r="Y135" s="6">
        <v>4</v>
      </c>
      <c r="Z135" s="6">
        <f t="shared" si="18"/>
        <v>17</v>
      </c>
      <c r="AA135" s="6">
        <v>3</v>
      </c>
      <c r="AB135" s="6">
        <v>14</v>
      </c>
      <c r="AC135" s="6">
        <v>54.54</v>
      </c>
      <c r="AD135" s="6">
        <v>20.40251382373123</v>
      </c>
      <c r="AE135" s="6" t="s">
        <v>319</v>
      </c>
      <c r="AF135" s="6">
        <v>3</v>
      </c>
      <c r="AG135" s="6">
        <f t="shared" si="12"/>
        <v>20</v>
      </c>
      <c r="AH135" s="6">
        <v>4</v>
      </c>
      <c r="AI135" s="6">
        <v>16</v>
      </c>
      <c r="AJ135" s="6">
        <v>33.5</v>
      </c>
      <c r="AK135" s="6">
        <v>19.236519620151604</v>
      </c>
      <c r="AL135" s="6">
        <f t="shared" si="14"/>
        <v>3.3333333333333335</v>
      </c>
      <c r="AM135" s="6">
        <f t="shared" si="15"/>
        <v>52</v>
      </c>
      <c r="AN135" s="6">
        <v>0.65834929489842442</v>
      </c>
      <c r="AO135" s="6">
        <v>0.76242577816633894</v>
      </c>
      <c r="AP135" s="6">
        <v>0.71885349851089697</v>
      </c>
      <c r="AQ135" s="6">
        <f t="shared" si="16"/>
        <v>0.71320952385855352</v>
      </c>
      <c r="AR135" s="6">
        <v>66.87777777777778</v>
      </c>
      <c r="AS135" s="6">
        <v>0.625</v>
      </c>
      <c r="AT135" s="2">
        <v>0.51894351752205037</v>
      </c>
      <c r="AU135" s="2">
        <v>756.47235712171812</v>
      </c>
      <c r="AV135" s="2">
        <f t="shared" si="17"/>
        <v>0.88844058906596746</v>
      </c>
    </row>
    <row r="136" spans="1:48" ht="15.6" x14ac:dyDescent="0.25">
      <c r="A136" s="5" t="s">
        <v>131</v>
      </c>
      <c r="B136" s="5" t="s">
        <v>168</v>
      </c>
      <c r="C136" s="6" t="s">
        <v>307</v>
      </c>
      <c r="D136" s="6" t="s">
        <v>311</v>
      </c>
      <c r="E136" s="5" t="s">
        <v>313</v>
      </c>
      <c r="F136" s="6">
        <v>0</v>
      </c>
      <c r="G136" s="6" t="s">
        <v>315</v>
      </c>
      <c r="H136" s="6">
        <v>54.76</v>
      </c>
      <c r="I136" s="6">
        <v>48.76</v>
      </c>
      <c r="J136" s="6">
        <v>26.7</v>
      </c>
      <c r="K136" s="6">
        <v>95</v>
      </c>
      <c r="L136" s="6">
        <v>146.15</v>
      </c>
      <c r="Q136" s="6" t="s">
        <v>319</v>
      </c>
      <c r="R136" s="6">
        <v>4</v>
      </c>
      <c r="S136" s="6">
        <f t="shared" si="13"/>
        <v>47</v>
      </c>
      <c r="T136" s="6">
        <v>5</v>
      </c>
      <c r="U136" s="6">
        <v>42</v>
      </c>
      <c r="V136" s="6">
        <v>60.749999999999993</v>
      </c>
      <c r="W136" s="6">
        <v>23.370109092921847</v>
      </c>
      <c r="X136" s="6" t="s">
        <v>320</v>
      </c>
      <c r="Y136" s="6">
        <v>4</v>
      </c>
      <c r="Z136" s="6">
        <f t="shared" si="18"/>
        <v>17</v>
      </c>
      <c r="AA136" s="6">
        <v>2</v>
      </c>
      <c r="AB136" s="6">
        <v>15</v>
      </c>
      <c r="AC136" s="6">
        <v>34.6</v>
      </c>
      <c r="AD136" s="6">
        <v>21.626817496693231</v>
      </c>
      <c r="AL136" s="6">
        <f t="shared" si="14"/>
        <v>4</v>
      </c>
      <c r="AM136" s="6">
        <f t="shared" si="15"/>
        <v>64</v>
      </c>
      <c r="AN136" s="6">
        <v>0.87528498475362726</v>
      </c>
      <c r="AO136" s="6">
        <v>0.80999316467015847</v>
      </c>
      <c r="AQ136" s="6">
        <f t="shared" si="16"/>
        <v>0.84263907471189281</v>
      </c>
      <c r="AR136" s="6">
        <v>88.166666666666657</v>
      </c>
      <c r="AS136" s="6">
        <v>0.6875</v>
      </c>
      <c r="AT136" s="2">
        <v>0.64867161327084677</v>
      </c>
      <c r="AU136" s="2">
        <v>429.04569503197973</v>
      </c>
      <c r="AV136" s="2">
        <f t="shared" si="17"/>
        <v>0.65241190557646245</v>
      </c>
    </row>
    <row r="137" spans="1:48" ht="15.6" x14ac:dyDescent="0.25">
      <c r="A137" s="5" t="s">
        <v>132</v>
      </c>
      <c r="B137" s="5" t="s">
        <v>168</v>
      </c>
      <c r="C137" s="6" t="s">
        <v>307</v>
      </c>
      <c r="D137" s="6" t="s">
        <v>187</v>
      </c>
      <c r="E137" s="5" t="s">
        <v>314</v>
      </c>
      <c r="F137" s="6" t="s">
        <v>189</v>
      </c>
      <c r="G137" s="6" t="s">
        <v>317</v>
      </c>
      <c r="H137" s="6">
        <v>64.13</v>
      </c>
      <c r="I137" s="6">
        <v>38.130000000000003</v>
      </c>
      <c r="J137" s="6">
        <v>30.01</v>
      </c>
      <c r="K137" s="6">
        <v>93.4</v>
      </c>
      <c r="L137" s="6">
        <v>160.4</v>
      </c>
      <c r="Q137" s="6" t="s">
        <v>319</v>
      </c>
      <c r="R137" s="6">
        <v>2</v>
      </c>
      <c r="S137" s="6">
        <f t="shared" si="13"/>
        <v>15</v>
      </c>
      <c r="T137" s="6">
        <v>0</v>
      </c>
      <c r="U137" s="6">
        <v>15</v>
      </c>
      <c r="V137" s="6">
        <v>48.88</v>
      </c>
      <c r="W137" s="6">
        <v>15.097426081425073</v>
      </c>
      <c r="X137" s="6" t="s">
        <v>319</v>
      </c>
      <c r="Y137" s="6">
        <v>4</v>
      </c>
      <c r="Z137" s="6">
        <f t="shared" si="18"/>
        <v>21</v>
      </c>
      <c r="AA137" s="6">
        <v>2</v>
      </c>
      <c r="AB137" s="6">
        <v>19</v>
      </c>
      <c r="AC137" s="6">
        <v>41.400000000000006</v>
      </c>
      <c r="AD137" s="6">
        <v>27.410833748324947</v>
      </c>
      <c r="AE137" s="6" t="s">
        <v>319</v>
      </c>
      <c r="AF137" s="6">
        <v>3</v>
      </c>
      <c r="AG137" s="6">
        <f t="shared" si="12"/>
        <v>16</v>
      </c>
      <c r="AH137" s="6">
        <v>0</v>
      </c>
      <c r="AI137" s="6">
        <v>16</v>
      </c>
      <c r="AJ137" s="6">
        <v>32.81</v>
      </c>
      <c r="AK137" s="6">
        <v>20.284642510167494</v>
      </c>
      <c r="AL137" s="6">
        <f t="shared" si="14"/>
        <v>3</v>
      </c>
      <c r="AM137" s="6">
        <f t="shared" si="15"/>
        <v>52</v>
      </c>
      <c r="AN137" s="6">
        <v>0.50307984276658024</v>
      </c>
      <c r="AO137" s="6">
        <v>0.9133899949458496</v>
      </c>
      <c r="AP137" s="6">
        <v>0.67592944052540793</v>
      </c>
      <c r="AQ137" s="6">
        <f t="shared" si="16"/>
        <v>0.69746642607927922</v>
      </c>
      <c r="AR137" s="6">
        <v>69.333333333333329</v>
      </c>
      <c r="AS137" s="6">
        <v>0.75</v>
      </c>
      <c r="AT137" s="2">
        <v>0.76568962976008403</v>
      </c>
      <c r="AU137" s="2">
        <v>772.91783490204466</v>
      </c>
      <c r="AV137" s="2">
        <f t="shared" si="17"/>
        <v>0.76739401496259352</v>
      </c>
    </row>
    <row r="138" spans="1:48" ht="15.6" x14ac:dyDescent="0.25">
      <c r="A138" s="5" t="s">
        <v>133</v>
      </c>
      <c r="B138" s="5" t="s">
        <v>168</v>
      </c>
      <c r="C138" s="6" t="s">
        <v>307</v>
      </c>
      <c r="D138" s="6" t="s">
        <v>172</v>
      </c>
      <c r="E138" s="5" t="s">
        <v>312</v>
      </c>
      <c r="F138" s="6" t="s">
        <v>189</v>
      </c>
      <c r="G138" s="6" t="s">
        <v>317</v>
      </c>
      <c r="H138" s="6">
        <v>74.3</v>
      </c>
      <c r="I138" s="6">
        <v>47.32</v>
      </c>
      <c r="J138" s="6">
        <v>31.21</v>
      </c>
      <c r="K138" s="6">
        <v>114</v>
      </c>
      <c r="L138" s="6">
        <v>176.94</v>
      </c>
      <c r="Q138" s="6" t="s">
        <v>319</v>
      </c>
      <c r="R138" s="6">
        <v>4</v>
      </c>
      <c r="S138" s="6">
        <f t="shared" si="13"/>
        <v>27</v>
      </c>
      <c r="T138" s="6">
        <v>4</v>
      </c>
      <c r="U138" s="6">
        <v>23</v>
      </c>
      <c r="V138" s="6">
        <v>95.44</v>
      </c>
      <c r="W138" s="6">
        <v>24.963901530252578</v>
      </c>
      <c r="AL138" s="6">
        <f t="shared" si="14"/>
        <v>4</v>
      </c>
      <c r="AM138" s="6">
        <f t="shared" si="15"/>
        <v>27</v>
      </c>
      <c r="AN138" s="6">
        <v>0.79986868087960838</v>
      </c>
      <c r="AQ138" s="6">
        <f t="shared" si="16"/>
        <v>0.79986868087960838</v>
      </c>
      <c r="AR138" s="6">
        <v>71.333333333333329</v>
      </c>
      <c r="AS138" s="6">
        <v>1</v>
      </c>
      <c r="AT138" s="2">
        <v>0.5977999350277533</v>
      </c>
      <c r="AU138" s="2">
        <v>238.25547620473057</v>
      </c>
      <c r="AV138" s="2">
        <f t="shared" si="17"/>
        <v>0.53939188425454954</v>
      </c>
    </row>
    <row r="139" spans="1:48" ht="15.6" x14ac:dyDescent="0.25">
      <c r="A139" s="5" t="s">
        <v>134</v>
      </c>
      <c r="B139" s="5" t="s">
        <v>168</v>
      </c>
      <c r="C139" s="6" t="s">
        <v>307</v>
      </c>
      <c r="D139" s="6" t="s">
        <v>173</v>
      </c>
      <c r="E139" s="5" t="s">
        <v>312</v>
      </c>
      <c r="F139" s="6">
        <v>0</v>
      </c>
      <c r="G139" s="6" t="s">
        <v>315</v>
      </c>
      <c r="H139" s="6">
        <v>69.62</v>
      </c>
      <c r="I139" s="6">
        <v>57.11</v>
      </c>
      <c r="J139" s="6">
        <v>31.94</v>
      </c>
      <c r="K139" s="6">
        <v>136.5</v>
      </c>
      <c r="L139" s="6">
        <v>201.3</v>
      </c>
      <c r="M139" s="6" t="s">
        <v>196</v>
      </c>
      <c r="N139" s="6">
        <v>10.74</v>
      </c>
      <c r="O139" s="6">
        <v>27.98</v>
      </c>
      <c r="P139" s="6">
        <v>127</v>
      </c>
      <c r="Q139" s="6" t="s">
        <v>319</v>
      </c>
      <c r="R139" s="6">
        <v>3</v>
      </c>
      <c r="S139" s="6">
        <f t="shared" si="13"/>
        <v>22</v>
      </c>
      <c r="T139" s="6">
        <v>5</v>
      </c>
      <c r="U139" s="6">
        <v>17</v>
      </c>
      <c r="V139" s="6">
        <v>62.8</v>
      </c>
      <c r="W139" s="6">
        <v>32.134978495218</v>
      </c>
      <c r="AL139" s="6">
        <f t="shared" si="14"/>
        <v>3</v>
      </c>
      <c r="AM139" s="6">
        <f t="shared" si="15"/>
        <v>22</v>
      </c>
      <c r="AN139" s="6">
        <v>1</v>
      </c>
      <c r="AQ139" s="6">
        <f t="shared" si="16"/>
        <v>1</v>
      </c>
      <c r="AR139" s="6">
        <v>74</v>
      </c>
      <c r="AS139" s="6">
        <v>1</v>
      </c>
      <c r="AT139" s="2"/>
      <c r="AU139" s="2">
        <v>201.80766494996902</v>
      </c>
      <c r="AV139" s="2">
        <f t="shared" si="17"/>
        <v>0.31197218082463979</v>
      </c>
    </row>
    <row r="140" spans="1:48" ht="15.6" x14ac:dyDescent="0.25">
      <c r="A140" s="5" t="s">
        <v>135</v>
      </c>
      <c r="B140" s="5" t="s">
        <v>168</v>
      </c>
      <c r="C140" s="6" t="s">
        <v>307</v>
      </c>
      <c r="D140" s="6" t="s">
        <v>172</v>
      </c>
      <c r="E140" s="5" t="s">
        <v>312</v>
      </c>
      <c r="F140" s="6" t="s">
        <v>191</v>
      </c>
      <c r="G140" s="6" t="s">
        <v>190</v>
      </c>
      <c r="H140" s="6">
        <v>42.3</v>
      </c>
      <c r="I140" s="6">
        <v>38.68</v>
      </c>
      <c r="J140" s="6">
        <v>23.08</v>
      </c>
      <c r="K140" s="6">
        <v>54.9</v>
      </c>
      <c r="L140" s="6">
        <v>123.83</v>
      </c>
      <c r="Q140" s="6" t="s">
        <v>319</v>
      </c>
      <c r="R140" s="6">
        <v>4</v>
      </c>
      <c r="S140" s="6">
        <f t="shared" si="13"/>
        <v>32</v>
      </c>
      <c r="T140" s="6">
        <v>5</v>
      </c>
      <c r="U140" s="6">
        <v>27</v>
      </c>
      <c r="V140" s="6">
        <v>94.18</v>
      </c>
      <c r="W140" s="6">
        <v>22.703004524387126</v>
      </c>
      <c r="AL140" s="6">
        <f t="shared" si="14"/>
        <v>4</v>
      </c>
      <c r="AM140" s="6">
        <f t="shared" si="15"/>
        <v>32</v>
      </c>
      <c r="AN140" s="6">
        <v>0.98366570729580272</v>
      </c>
      <c r="AQ140" s="6">
        <f t="shared" si="16"/>
        <v>0.98366570729580272</v>
      </c>
      <c r="AR140" s="6">
        <v>80.333333333333329</v>
      </c>
      <c r="AS140" s="6">
        <v>0.91666666666666663</v>
      </c>
      <c r="AT140" s="2"/>
      <c r="AU140" s="2">
        <v>213.81689661067799</v>
      </c>
      <c r="AV140" s="2">
        <f t="shared" si="17"/>
        <v>0.76055883065493024</v>
      </c>
    </row>
    <row r="141" spans="1:48" ht="15.6" x14ac:dyDescent="0.25">
      <c r="A141" s="5" t="s">
        <v>136</v>
      </c>
      <c r="B141" s="5" t="s">
        <v>168</v>
      </c>
      <c r="C141" s="6" t="s">
        <v>307</v>
      </c>
      <c r="D141" s="6" t="s">
        <v>180</v>
      </c>
      <c r="E141" s="5" t="s">
        <v>313</v>
      </c>
      <c r="F141" s="6">
        <v>0</v>
      </c>
      <c r="G141" s="6" t="s">
        <v>315</v>
      </c>
      <c r="H141" s="6">
        <v>50.1</v>
      </c>
      <c r="I141" s="6">
        <v>49.3</v>
      </c>
      <c r="J141" s="6">
        <v>31.8</v>
      </c>
      <c r="K141" s="6">
        <v>89.4</v>
      </c>
      <c r="L141" s="6">
        <v>124.75</v>
      </c>
      <c r="Q141" s="6" t="s">
        <v>319</v>
      </c>
      <c r="R141" s="6">
        <v>4</v>
      </c>
      <c r="S141" s="6">
        <f t="shared" si="13"/>
        <v>17</v>
      </c>
      <c r="T141" s="6">
        <v>2</v>
      </c>
      <c r="U141" s="6">
        <v>15</v>
      </c>
      <c r="V141" s="6">
        <v>41.38</v>
      </c>
      <c r="W141" s="6">
        <v>31.317185834445979</v>
      </c>
      <c r="X141" s="6" t="s">
        <v>319</v>
      </c>
      <c r="Y141" s="6">
        <v>3</v>
      </c>
      <c r="Z141" s="6">
        <f t="shared" si="18"/>
        <v>15</v>
      </c>
      <c r="AA141" s="6">
        <v>2</v>
      </c>
      <c r="AB141" s="6">
        <v>13</v>
      </c>
      <c r="AC141" s="6">
        <v>35.54</v>
      </c>
      <c r="AD141" s="6">
        <v>24.883160207632706</v>
      </c>
      <c r="AL141" s="6">
        <f t="shared" si="14"/>
        <v>3.5</v>
      </c>
      <c r="AM141" s="6">
        <f t="shared" si="15"/>
        <v>32</v>
      </c>
      <c r="AN141" s="6">
        <v>0.9848171646052194</v>
      </c>
      <c r="AO141" s="6">
        <v>0.78248931470543104</v>
      </c>
      <c r="AQ141" s="6">
        <f t="shared" si="16"/>
        <v>0.88365323965532516</v>
      </c>
      <c r="AR141" s="6">
        <v>86.983333333333334</v>
      </c>
      <c r="AS141" s="6">
        <v>0.4375</v>
      </c>
      <c r="AT141" s="2"/>
      <c r="AU141" s="2">
        <v>432.29306175566927</v>
      </c>
      <c r="AV141" s="2">
        <f t="shared" si="17"/>
        <v>0.61659318637274552</v>
      </c>
    </row>
    <row r="142" spans="1:48" ht="15.6" x14ac:dyDescent="0.25">
      <c r="A142" s="5" t="s">
        <v>137</v>
      </c>
      <c r="B142" s="5" t="s">
        <v>168</v>
      </c>
      <c r="C142" s="6" t="s">
        <v>307</v>
      </c>
      <c r="D142" s="6" t="s">
        <v>172</v>
      </c>
      <c r="E142" s="5" t="s">
        <v>312</v>
      </c>
      <c r="F142" s="6">
        <v>0</v>
      </c>
      <c r="G142" s="6" t="s">
        <v>315</v>
      </c>
      <c r="H142" s="6">
        <v>61.22</v>
      </c>
      <c r="I142" s="6">
        <v>43.26</v>
      </c>
      <c r="J142" s="6">
        <v>24.97</v>
      </c>
      <c r="K142" s="6">
        <v>65.8</v>
      </c>
      <c r="L142" s="6">
        <v>172</v>
      </c>
      <c r="Q142" s="6" t="s">
        <v>319</v>
      </c>
      <c r="R142" s="6">
        <v>2</v>
      </c>
      <c r="S142" s="6">
        <f t="shared" si="13"/>
        <v>26</v>
      </c>
      <c r="T142" s="6">
        <v>9</v>
      </c>
      <c r="U142" s="6">
        <v>17</v>
      </c>
      <c r="V142" s="6">
        <v>112.96</v>
      </c>
      <c r="W142" s="6">
        <v>26.017774633661272</v>
      </c>
      <c r="AL142" s="6">
        <f t="shared" si="14"/>
        <v>2</v>
      </c>
      <c r="AM142" s="6">
        <f t="shared" si="15"/>
        <v>26</v>
      </c>
      <c r="AN142" s="6">
        <v>1</v>
      </c>
      <c r="AQ142" s="6">
        <f t="shared" si="16"/>
        <v>1</v>
      </c>
      <c r="AR142" s="6">
        <v>66</v>
      </c>
      <c r="AS142" s="6">
        <v>1</v>
      </c>
      <c r="AT142" s="2"/>
      <c r="AU142" s="2">
        <v>293.89678226183776</v>
      </c>
      <c r="AV142" s="2">
        <f t="shared" si="17"/>
        <v>0.65674418604651164</v>
      </c>
    </row>
    <row r="143" spans="1:48" ht="15.6" x14ac:dyDescent="0.25">
      <c r="A143" s="5" t="s">
        <v>138</v>
      </c>
      <c r="B143" s="5" t="s">
        <v>168</v>
      </c>
      <c r="C143" s="6" t="s">
        <v>307</v>
      </c>
      <c r="D143" s="6" t="s">
        <v>310</v>
      </c>
      <c r="E143" s="5" t="s">
        <v>312</v>
      </c>
      <c r="F143" s="6" t="s">
        <v>191</v>
      </c>
      <c r="G143" s="6" t="s">
        <v>190</v>
      </c>
      <c r="H143" s="6">
        <v>53.77</v>
      </c>
      <c r="I143" s="6">
        <v>52.1</v>
      </c>
      <c r="J143" s="6">
        <v>27.3</v>
      </c>
      <c r="K143" s="6">
        <v>69.2</v>
      </c>
      <c r="L143" s="6">
        <v>166.45</v>
      </c>
      <c r="Q143" s="6" t="s">
        <v>320</v>
      </c>
      <c r="R143" s="6">
        <v>3</v>
      </c>
      <c r="S143" s="6">
        <f t="shared" si="13"/>
        <v>21</v>
      </c>
      <c r="T143" s="6">
        <v>0</v>
      </c>
      <c r="U143" s="6">
        <v>21</v>
      </c>
      <c r="V143" s="6">
        <v>49.1</v>
      </c>
      <c r="W143" s="6">
        <v>20.389869128911052</v>
      </c>
      <c r="AL143" s="6">
        <f t="shared" si="14"/>
        <v>3</v>
      </c>
      <c r="AM143" s="6">
        <f t="shared" si="15"/>
        <v>21</v>
      </c>
      <c r="AN143" s="6">
        <v>0.74688165307366483</v>
      </c>
      <c r="AQ143" s="6">
        <f t="shared" si="16"/>
        <v>0.74688165307366483</v>
      </c>
      <c r="AR143" s="6">
        <v>84.333333333333329</v>
      </c>
      <c r="AS143" s="6">
        <v>0.5</v>
      </c>
      <c r="AT143" s="2">
        <v>0.32990090829009605</v>
      </c>
      <c r="AU143" s="2">
        <v>100.11425742295327</v>
      </c>
      <c r="AV143" s="2">
        <f t="shared" si="17"/>
        <v>0.29498347852207873</v>
      </c>
    </row>
    <row r="144" spans="1:48" ht="15.6" x14ac:dyDescent="0.25">
      <c r="A144" s="5" t="s">
        <v>139</v>
      </c>
      <c r="B144" s="5" t="s">
        <v>168</v>
      </c>
      <c r="C144" s="6" t="s">
        <v>307</v>
      </c>
      <c r="D144" s="6" t="s">
        <v>170</v>
      </c>
      <c r="E144" s="5" t="s">
        <v>312</v>
      </c>
      <c r="F144" s="6" t="s">
        <v>189</v>
      </c>
      <c r="G144" s="6" t="s">
        <v>317</v>
      </c>
      <c r="H144" s="6">
        <v>40.29</v>
      </c>
      <c r="I144" s="6">
        <v>36.68</v>
      </c>
      <c r="J144" s="6">
        <v>26.7</v>
      </c>
      <c r="K144" s="6">
        <v>44</v>
      </c>
      <c r="L144" s="6">
        <v>130.08999999999997</v>
      </c>
      <c r="M144" s="6" t="s">
        <v>197</v>
      </c>
      <c r="N144" s="6">
        <v>11.4</v>
      </c>
      <c r="O144" s="6">
        <v>37.86</v>
      </c>
      <c r="P144" s="6">
        <v>115</v>
      </c>
      <c r="Q144" s="6" t="s">
        <v>319</v>
      </c>
      <c r="R144" s="6">
        <v>2</v>
      </c>
      <c r="S144" s="6">
        <f t="shared" si="13"/>
        <v>12</v>
      </c>
      <c r="T144" s="6">
        <v>0</v>
      </c>
      <c r="U144" s="6">
        <v>12</v>
      </c>
      <c r="V144" s="6">
        <v>42.26</v>
      </c>
      <c r="W144" s="6">
        <v>11.72750097173159</v>
      </c>
      <c r="AL144" s="6">
        <f t="shared" si="14"/>
        <v>2</v>
      </c>
      <c r="AM144" s="6">
        <f t="shared" si="15"/>
        <v>12</v>
      </c>
      <c r="AN144" s="6">
        <v>0.4392322461322693</v>
      </c>
      <c r="AQ144" s="6">
        <f t="shared" si="16"/>
        <v>0.4392322461322693</v>
      </c>
      <c r="AR144" s="6">
        <v>74.333333333333329</v>
      </c>
      <c r="AS144" s="6">
        <v>0.5</v>
      </c>
      <c r="AT144" s="2">
        <v>6.8295390693644861E-2</v>
      </c>
      <c r="AU144" s="2">
        <v>49.560419106537701</v>
      </c>
      <c r="AV144" s="2">
        <f t="shared" si="17"/>
        <v>0.32485202552079334</v>
      </c>
    </row>
    <row r="145" spans="1:48" ht="15.6" x14ac:dyDescent="0.25">
      <c r="A145" s="5" t="s">
        <v>140</v>
      </c>
      <c r="B145" s="5" t="s">
        <v>168</v>
      </c>
      <c r="C145" s="6" t="s">
        <v>307</v>
      </c>
      <c r="D145" s="6" t="s">
        <v>187</v>
      </c>
      <c r="E145" s="5" t="s">
        <v>314</v>
      </c>
      <c r="F145" s="6" t="s">
        <v>189</v>
      </c>
      <c r="G145" s="6" t="s">
        <v>316</v>
      </c>
      <c r="H145" s="6">
        <v>48.42</v>
      </c>
      <c r="I145" s="6">
        <v>34.119999999999997</v>
      </c>
      <c r="J145" s="6">
        <v>23.63</v>
      </c>
      <c r="K145" s="6">
        <v>54.8</v>
      </c>
      <c r="L145" s="6">
        <v>127.92</v>
      </c>
      <c r="Q145" s="6" t="s">
        <v>319</v>
      </c>
      <c r="R145" s="6">
        <v>3</v>
      </c>
      <c r="S145" s="6">
        <f t="shared" si="13"/>
        <v>10</v>
      </c>
      <c r="T145" s="6">
        <v>0</v>
      </c>
      <c r="U145" s="6">
        <v>10</v>
      </c>
      <c r="V145" s="6">
        <v>35.08</v>
      </c>
      <c r="W145" s="6">
        <v>17.855798466913008</v>
      </c>
      <c r="X145" s="6" t="s">
        <v>319</v>
      </c>
      <c r="Y145" s="6">
        <v>3</v>
      </c>
      <c r="Z145" s="6">
        <f t="shared" si="18"/>
        <v>13</v>
      </c>
      <c r="AA145" s="6">
        <v>0</v>
      </c>
      <c r="AB145" s="6">
        <v>13</v>
      </c>
      <c r="AC145" s="6">
        <v>33.49</v>
      </c>
      <c r="AD145" s="6">
        <v>21.615954283399908</v>
      </c>
      <c r="AE145" s="6" t="s">
        <v>319</v>
      </c>
      <c r="AF145" s="6">
        <v>2</v>
      </c>
      <c r="AG145" s="6">
        <f t="shared" si="12"/>
        <v>10</v>
      </c>
      <c r="AH145" s="6">
        <v>3</v>
      </c>
      <c r="AI145" s="6">
        <v>7</v>
      </c>
      <c r="AJ145" s="6">
        <v>32.380000000000003</v>
      </c>
      <c r="AK145" s="6">
        <v>23.15050364244151</v>
      </c>
      <c r="AL145" s="6">
        <f t="shared" si="14"/>
        <v>2.6666666666666665</v>
      </c>
      <c r="AM145" s="6">
        <f t="shared" si="15"/>
        <v>33</v>
      </c>
      <c r="AN145" s="6">
        <v>0.75564106927266228</v>
      </c>
      <c r="AO145" s="6">
        <v>0.91476742629707619</v>
      </c>
      <c r="AP145" s="6">
        <v>0.9797081524520318</v>
      </c>
      <c r="AQ145" s="6">
        <f t="shared" si="16"/>
        <v>0.88337221600725668</v>
      </c>
      <c r="AR145" s="6">
        <v>72.566666666666663</v>
      </c>
      <c r="AS145" s="6">
        <v>0.625</v>
      </c>
      <c r="AT145" s="2"/>
      <c r="AU145" s="2">
        <v>632.17167828485583</v>
      </c>
      <c r="AV145" s="2">
        <f t="shared" si="17"/>
        <v>0.78916510318949329</v>
      </c>
    </row>
    <row r="146" spans="1:48" ht="15.6" x14ac:dyDescent="0.25">
      <c r="A146" s="5" t="s">
        <v>141</v>
      </c>
      <c r="B146" s="5" t="s">
        <v>168</v>
      </c>
      <c r="C146" s="6" t="s">
        <v>307</v>
      </c>
      <c r="D146" s="6" t="s">
        <v>170</v>
      </c>
      <c r="E146" s="5" t="s">
        <v>312</v>
      </c>
      <c r="F146" s="6" t="s">
        <v>191</v>
      </c>
      <c r="G146" s="6" t="s">
        <v>194</v>
      </c>
      <c r="H146" s="6">
        <v>52.8</v>
      </c>
      <c r="I146" s="6">
        <v>45.26</v>
      </c>
      <c r="J146" s="6">
        <v>24.06</v>
      </c>
      <c r="K146" s="6">
        <v>58.7</v>
      </c>
      <c r="L146" s="6">
        <v>162.23000000000002</v>
      </c>
      <c r="M146" s="6" t="s">
        <v>196</v>
      </c>
      <c r="N146" s="6">
        <v>6.64</v>
      </c>
      <c r="O146" s="6">
        <v>12.72</v>
      </c>
      <c r="P146" s="6">
        <v>131</v>
      </c>
      <c r="Q146" s="6" t="s">
        <v>319</v>
      </c>
      <c r="R146" s="6">
        <v>2</v>
      </c>
      <c r="S146" s="6">
        <f t="shared" si="13"/>
        <v>13</v>
      </c>
      <c r="T146" s="6">
        <v>1</v>
      </c>
      <c r="U146" s="6">
        <v>12</v>
      </c>
      <c r="V146" s="6">
        <v>56.83</v>
      </c>
      <c r="W146" s="6">
        <v>13.096551326554064</v>
      </c>
      <c r="AL146" s="6">
        <f t="shared" si="14"/>
        <v>2</v>
      </c>
      <c r="AM146" s="6">
        <f t="shared" si="15"/>
        <v>13</v>
      </c>
      <c r="AN146" s="6">
        <v>0.54432881656500687</v>
      </c>
      <c r="AQ146" s="6">
        <f t="shared" si="16"/>
        <v>0.54432881656500687</v>
      </c>
      <c r="AR146" s="6">
        <v>64.666666666666671</v>
      </c>
      <c r="AS146" s="6">
        <v>0.5</v>
      </c>
      <c r="AT146" s="2">
        <v>9.5687422091120772E-2</v>
      </c>
      <c r="AU146" s="2">
        <v>74.427701188806736</v>
      </c>
      <c r="AV146" s="2">
        <f t="shared" si="17"/>
        <v>0.35030512235714723</v>
      </c>
    </row>
    <row r="147" spans="1:48" ht="15.6" x14ac:dyDescent="0.25">
      <c r="A147" s="5" t="s">
        <v>270</v>
      </c>
      <c r="B147" s="5" t="s">
        <v>168</v>
      </c>
      <c r="C147" s="6" t="s">
        <v>307</v>
      </c>
      <c r="D147" s="6" t="s">
        <v>172</v>
      </c>
      <c r="E147" s="5" t="s">
        <v>312</v>
      </c>
      <c r="F147" s="6" t="s">
        <v>192</v>
      </c>
      <c r="G147" s="6" t="s">
        <v>190</v>
      </c>
      <c r="H147" s="6">
        <v>38.47</v>
      </c>
      <c r="I147" s="6">
        <v>34.9</v>
      </c>
      <c r="J147" s="6">
        <v>19.02</v>
      </c>
      <c r="K147" s="6">
        <v>23.5</v>
      </c>
      <c r="L147" s="6">
        <v>117.15</v>
      </c>
      <c r="M147" s="6" t="s">
        <v>196</v>
      </c>
      <c r="N147" s="6">
        <v>13.02</v>
      </c>
      <c r="O147" s="6">
        <v>21.61</v>
      </c>
      <c r="P147" s="6">
        <v>115</v>
      </c>
      <c r="Q147" s="6" t="s">
        <v>319</v>
      </c>
      <c r="R147" s="6">
        <v>3</v>
      </c>
      <c r="S147" s="6">
        <f t="shared" si="13"/>
        <v>12</v>
      </c>
      <c r="T147" s="6">
        <v>2</v>
      </c>
      <c r="U147" s="6">
        <v>10</v>
      </c>
      <c r="V147" s="6">
        <v>46.25</v>
      </c>
      <c r="W147" s="6">
        <v>24.28904869258222</v>
      </c>
      <c r="AL147" s="6">
        <f t="shared" si="14"/>
        <v>3</v>
      </c>
      <c r="AM147" s="6">
        <f t="shared" si="15"/>
        <v>12</v>
      </c>
      <c r="AN147" s="6">
        <v>1</v>
      </c>
      <c r="AQ147" s="6">
        <f t="shared" si="16"/>
        <v>1</v>
      </c>
      <c r="AR147" s="6">
        <v>65</v>
      </c>
      <c r="AS147" s="6">
        <v>0.875</v>
      </c>
      <c r="AT147" s="2"/>
      <c r="AU147" s="2">
        <v>112.33685020319277</v>
      </c>
      <c r="AV147" s="2">
        <f t="shared" si="17"/>
        <v>0.39479300042680321</v>
      </c>
    </row>
    <row r="148" spans="1:48" ht="15.6" x14ac:dyDescent="0.25">
      <c r="A148" s="5" t="s">
        <v>142</v>
      </c>
      <c r="B148" s="5" t="s">
        <v>168</v>
      </c>
      <c r="C148" s="6" t="s">
        <v>307</v>
      </c>
      <c r="D148" s="6" t="s">
        <v>172</v>
      </c>
      <c r="E148" s="5" t="s">
        <v>312</v>
      </c>
      <c r="F148" s="6">
        <v>0</v>
      </c>
      <c r="G148" s="6" t="s">
        <v>315</v>
      </c>
      <c r="H148" s="6">
        <v>27.9</v>
      </c>
      <c r="I148" s="6">
        <v>22.26</v>
      </c>
      <c r="J148" s="6">
        <v>18.940000000000001</v>
      </c>
      <c r="K148" s="6">
        <v>12.7</v>
      </c>
      <c r="L148" s="6">
        <v>84.15</v>
      </c>
      <c r="Q148" s="6" t="s">
        <v>319</v>
      </c>
      <c r="R148" s="6">
        <v>3</v>
      </c>
      <c r="S148" s="6">
        <f t="shared" si="13"/>
        <v>17</v>
      </c>
      <c r="T148" s="6">
        <v>2</v>
      </c>
      <c r="U148" s="6">
        <v>15</v>
      </c>
      <c r="V148" s="6">
        <v>53.85</v>
      </c>
      <c r="W148" s="6">
        <v>19.95448531604065</v>
      </c>
      <c r="AL148" s="6">
        <f t="shared" si="14"/>
        <v>3</v>
      </c>
      <c r="AM148" s="6">
        <f t="shared" si="15"/>
        <v>17</v>
      </c>
      <c r="AN148" s="6">
        <v>1</v>
      </c>
      <c r="AQ148" s="6">
        <f t="shared" si="16"/>
        <v>1</v>
      </c>
      <c r="AR148" s="6">
        <v>65.666666666666671</v>
      </c>
      <c r="AS148" s="6">
        <v>1</v>
      </c>
      <c r="AT148" s="2"/>
      <c r="AU148" s="2">
        <v>107.4549034268789</v>
      </c>
      <c r="AV148" s="2">
        <f t="shared" si="17"/>
        <v>0.63992869875222813</v>
      </c>
    </row>
    <row r="149" spans="1:48" ht="15.6" x14ac:dyDescent="0.25">
      <c r="A149" s="5" t="s">
        <v>143</v>
      </c>
      <c r="B149" s="5" t="s">
        <v>168</v>
      </c>
      <c r="C149" s="6" t="s">
        <v>307</v>
      </c>
      <c r="D149" s="6" t="s">
        <v>172</v>
      </c>
      <c r="E149" s="5" t="s">
        <v>312</v>
      </c>
      <c r="F149" s="6">
        <v>0</v>
      </c>
      <c r="G149" s="6" t="s">
        <v>315</v>
      </c>
      <c r="H149" s="6">
        <v>43.73</v>
      </c>
      <c r="I149" s="6">
        <v>28.6</v>
      </c>
      <c r="J149" s="6">
        <v>14.8</v>
      </c>
      <c r="K149" s="6">
        <v>21</v>
      </c>
      <c r="L149" s="6">
        <v>113.3</v>
      </c>
      <c r="Q149" s="6" t="s">
        <v>319</v>
      </c>
      <c r="R149" s="6">
        <v>3</v>
      </c>
      <c r="S149" s="6">
        <f t="shared" si="13"/>
        <v>19</v>
      </c>
      <c r="T149" s="6">
        <v>0</v>
      </c>
      <c r="U149" s="6">
        <v>19</v>
      </c>
      <c r="V149" s="6">
        <v>63.28</v>
      </c>
      <c r="W149" s="6">
        <v>16.058824361096757</v>
      </c>
      <c r="AL149" s="6">
        <f t="shared" si="14"/>
        <v>3</v>
      </c>
      <c r="AM149" s="6">
        <f t="shared" si="15"/>
        <v>19</v>
      </c>
      <c r="AN149" s="6">
        <v>1</v>
      </c>
      <c r="AQ149" s="6">
        <f t="shared" si="16"/>
        <v>1</v>
      </c>
      <c r="AR149" s="6">
        <v>68</v>
      </c>
      <c r="AS149" s="6">
        <v>0.7</v>
      </c>
      <c r="AT149" s="2"/>
      <c r="AU149" s="2">
        <v>101.62024055702028</v>
      </c>
      <c r="AV149" s="2">
        <f t="shared" si="17"/>
        <v>0.55851721094439544</v>
      </c>
    </row>
    <row r="150" spans="1:48" ht="15.6" x14ac:dyDescent="0.25">
      <c r="A150" s="5" t="s">
        <v>144</v>
      </c>
      <c r="B150" s="5" t="s">
        <v>168</v>
      </c>
      <c r="C150" s="6" t="s">
        <v>307</v>
      </c>
      <c r="D150" s="6" t="s">
        <v>173</v>
      </c>
      <c r="E150" s="5" t="s">
        <v>312</v>
      </c>
      <c r="F150" s="6">
        <v>0</v>
      </c>
      <c r="G150" s="6" t="s">
        <v>315</v>
      </c>
      <c r="H150" s="6">
        <v>86.27</v>
      </c>
      <c r="I150" s="6">
        <v>51.39</v>
      </c>
      <c r="J150" s="6">
        <v>47.3</v>
      </c>
      <c r="K150" s="6">
        <v>163.69999999999999</v>
      </c>
      <c r="L150" s="6">
        <v>222.47000000000003</v>
      </c>
      <c r="Q150" s="6" t="s">
        <v>319</v>
      </c>
      <c r="R150" s="6">
        <v>4</v>
      </c>
      <c r="S150" s="6">
        <f t="shared" si="13"/>
        <v>29</v>
      </c>
      <c r="T150" s="6">
        <v>1</v>
      </c>
      <c r="U150" s="6">
        <v>28</v>
      </c>
      <c r="V150" s="6">
        <v>92.070000000000007</v>
      </c>
      <c r="W150" s="6">
        <v>47.707076560417086</v>
      </c>
      <c r="AL150" s="6">
        <f t="shared" si="14"/>
        <v>4</v>
      </c>
      <c r="AM150" s="6">
        <f t="shared" si="15"/>
        <v>29</v>
      </c>
      <c r="AN150" s="6">
        <v>1</v>
      </c>
      <c r="AQ150" s="6">
        <f t="shared" si="16"/>
        <v>1</v>
      </c>
      <c r="AR150" s="6">
        <v>75</v>
      </c>
      <c r="AS150" s="6">
        <v>1</v>
      </c>
      <c r="AT150" s="2"/>
      <c r="AU150" s="2">
        <v>439.23905389176014</v>
      </c>
      <c r="AV150" s="2">
        <f t="shared" si="17"/>
        <v>0.41385355328808376</v>
      </c>
    </row>
    <row r="151" spans="1:48" ht="15.6" x14ac:dyDescent="0.25">
      <c r="A151" s="5" t="s">
        <v>145</v>
      </c>
      <c r="B151" s="5" t="s">
        <v>168</v>
      </c>
      <c r="C151" s="6" t="s">
        <v>307</v>
      </c>
      <c r="D151" s="6" t="s">
        <v>172</v>
      </c>
      <c r="E151" s="5" t="s">
        <v>312</v>
      </c>
      <c r="F151" s="6" t="s">
        <v>192</v>
      </c>
      <c r="G151" s="6" t="s">
        <v>194</v>
      </c>
      <c r="H151" s="6">
        <v>69.83</v>
      </c>
      <c r="I151" s="6">
        <v>44.19</v>
      </c>
      <c r="J151" s="6">
        <v>33.15</v>
      </c>
      <c r="K151" s="6">
        <v>92.1</v>
      </c>
      <c r="L151" s="6">
        <v>167.64</v>
      </c>
      <c r="Q151" s="6" t="s">
        <v>319</v>
      </c>
      <c r="R151" s="6">
        <v>4</v>
      </c>
      <c r="S151" s="6">
        <f t="shared" si="13"/>
        <v>33</v>
      </c>
      <c r="T151" s="6">
        <v>0</v>
      </c>
      <c r="U151" s="6">
        <v>33</v>
      </c>
      <c r="V151" s="6">
        <v>68.11</v>
      </c>
      <c r="W151" s="6">
        <v>27.996640575536681</v>
      </c>
      <c r="AL151" s="6">
        <f t="shared" si="14"/>
        <v>4</v>
      </c>
      <c r="AM151" s="6">
        <f t="shared" si="15"/>
        <v>33</v>
      </c>
      <c r="AN151" s="6">
        <v>0.84454421042342931</v>
      </c>
      <c r="AQ151" s="6">
        <f t="shared" si="16"/>
        <v>0.84454421042342931</v>
      </c>
      <c r="AR151" s="6">
        <v>74.666666666666671</v>
      </c>
      <c r="AS151" s="6">
        <v>1</v>
      </c>
      <c r="AT151" s="2">
        <v>0.67907247134505944</v>
      </c>
      <c r="AU151" s="2">
        <v>190.68511895998034</v>
      </c>
      <c r="AV151" s="2">
        <f t="shared" si="17"/>
        <v>0.40628728227153427</v>
      </c>
    </row>
    <row r="152" spans="1:48" ht="15.6" x14ac:dyDescent="0.25">
      <c r="A152" s="5" t="s">
        <v>146</v>
      </c>
      <c r="B152" s="5" t="s">
        <v>168</v>
      </c>
      <c r="C152" s="6" t="s">
        <v>307</v>
      </c>
      <c r="D152" s="6" t="s">
        <v>187</v>
      </c>
      <c r="E152" s="5" t="s">
        <v>314</v>
      </c>
      <c r="F152" s="6">
        <v>0</v>
      </c>
      <c r="G152" s="6" t="s">
        <v>315</v>
      </c>
      <c r="H152" s="6">
        <v>56.24</v>
      </c>
      <c r="I152" s="6">
        <v>54.02</v>
      </c>
      <c r="J152" s="6">
        <v>30.46</v>
      </c>
      <c r="K152" s="6">
        <v>119</v>
      </c>
      <c r="L152" s="6">
        <v>182.89</v>
      </c>
      <c r="Q152" s="6" t="s">
        <v>319</v>
      </c>
      <c r="R152" s="6">
        <v>4</v>
      </c>
      <c r="S152" s="6">
        <f t="shared" si="13"/>
        <v>42</v>
      </c>
      <c r="T152" s="6">
        <v>2</v>
      </c>
      <c r="U152" s="6">
        <v>40</v>
      </c>
      <c r="V152" s="6">
        <v>66.38</v>
      </c>
      <c r="W152" s="6">
        <v>31.346065278706597</v>
      </c>
      <c r="X152" s="6" t="s">
        <v>319</v>
      </c>
      <c r="Y152" s="6">
        <v>3</v>
      </c>
      <c r="Z152" s="6">
        <f t="shared" si="18"/>
        <v>24</v>
      </c>
      <c r="AA152" s="6">
        <v>6</v>
      </c>
      <c r="AB152" s="6">
        <v>18</v>
      </c>
      <c r="AC152" s="6">
        <v>59.010000000000005</v>
      </c>
      <c r="AD152" s="6">
        <v>24.84540767758968</v>
      </c>
      <c r="AE152" s="6" t="s">
        <v>319</v>
      </c>
      <c r="AF152" s="6">
        <v>2</v>
      </c>
      <c r="AG152" s="6">
        <f t="shared" si="12"/>
        <v>15</v>
      </c>
      <c r="AH152" s="6">
        <v>2</v>
      </c>
      <c r="AI152" s="6">
        <v>13</v>
      </c>
      <c r="AJ152" s="6">
        <v>57.5</v>
      </c>
      <c r="AK152" s="6">
        <v>29.307978059998739</v>
      </c>
      <c r="AL152" s="6">
        <f t="shared" si="14"/>
        <v>3</v>
      </c>
      <c r="AM152" s="6">
        <f t="shared" si="15"/>
        <v>81</v>
      </c>
      <c r="AN152" s="6">
        <v>1</v>
      </c>
      <c r="AO152" s="6">
        <v>0.81567326584339062</v>
      </c>
      <c r="AP152" s="6">
        <v>0.96217918778722056</v>
      </c>
      <c r="AQ152" s="6">
        <f t="shared" si="16"/>
        <v>0.9259508178768705</v>
      </c>
      <c r="AR152" s="6">
        <v>71.544444444444437</v>
      </c>
      <c r="AS152" s="6">
        <v>0.9375</v>
      </c>
      <c r="AT152" s="2"/>
      <c r="AU152" s="2">
        <v>1563.6994596370193</v>
      </c>
      <c r="AV152" s="2">
        <f t="shared" si="17"/>
        <v>1</v>
      </c>
    </row>
    <row r="153" spans="1:48" ht="15.6" x14ac:dyDescent="0.25">
      <c r="A153" s="5" t="s">
        <v>147</v>
      </c>
      <c r="B153" s="5" t="s">
        <v>168</v>
      </c>
      <c r="C153" s="6" t="s">
        <v>307</v>
      </c>
      <c r="D153" s="6" t="s">
        <v>311</v>
      </c>
      <c r="E153" s="5" t="s">
        <v>314</v>
      </c>
      <c r="F153" s="6">
        <v>0</v>
      </c>
      <c r="G153" s="6" t="s">
        <v>315</v>
      </c>
      <c r="H153" s="6">
        <v>56.62</v>
      </c>
      <c r="I153" s="6">
        <v>41.51</v>
      </c>
      <c r="J153" s="6">
        <v>22.88</v>
      </c>
      <c r="K153" s="6">
        <v>81.5</v>
      </c>
      <c r="L153" s="6">
        <v>154.46</v>
      </c>
      <c r="Q153" s="6" t="s">
        <v>319</v>
      </c>
      <c r="R153" s="6">
        <v>3</v>
      </c>
      <c r="S153" s="6">
        <f t="shared" si="13"/>
        <v>38</v>
      </c>
      <c r="T153" s="6">
        <v>7</v>
      </c>
      <c r="U153" s="6">
        <v>31</v>
      </c>
      <c r="V153" s="6">
        <v>71.59</v>
      </c>
      <c r="W153" s="6">
        <v>17.497238242967224</v>
      </c>
      <c r="X153" s="6" t="s">
        <v>319</v>
      </c>
      <c r="Y153" s="6">
        <v>4</v>
      </c>
      <c r="Z153" s="6">
        <f t="shared" si="18"/>
        <v>19</v>
      </c>
      <c r="AA153" s="6">
        <v>3</v>
      </c>
      <c r="AB153" s="6">
        <v>16</v>
      </c>
      <c r="AC153" s="6">
        <v>42.89</v>
      </c>
      <c r="AD153" s="6">
        <v>19.018341735325521</v>
      </c>
      <c r="AE153" s="6" t="s">
        <v>320</v>
      </c>
      <c r="AF153" s="6">
        <v>3</v>
      </c>
      <c r="AG153" s="6">
        <f t="shared" si="12"/>
        <v>15</v>
      </c>
      <c r="AH153" s="6">
        <v>0</v>
      </c>
      <c r="AI153" s="6">
        <v>15</v>
      </c>
      <c r="AJ153" s="6">
        <v>39.979999999999997</v>
      </c>
      <c r="AK153" s="6">
        <v>17.426511243916899</v>
      </c>
      <c r="AL153" s="6">
        <f t="shared" si="14"/>
        <v>3.3333333333333335</v>
      </c>
      <c r="AM153" s="6">
        <f t="shared" si="15"/>
        <v>72</v>
      </c>
      <c r="AN153" s="6">
        <v>0.76473943369611996</v>
      </c>
      <c r="AO153" s="6">
        <v>0.83122122969080081</v>
      </c>
      <c r="AP153" s="6">
        <v>0.76164821870266164</v>
      </c>
      <c r="AQ153" s="6">
        <f t="shared" si="16"/>
        <v>0.78586962736319421</v>
      </c>
      <c r="AR153" s="6">
        <v>70.788888888888891</v>
      </c>
      <c r="AS153" s="6">
        <v>0.625</v>
      </c>
      <c r="AT153" s="2">
        <v>0.66449478352968283</v>
      </c>
      <c r="AU153" s="2">
        <v>833.18954101825022</v>
      </c>
      <c r="AV153" s="2">
        <f t="shared" si="17"/>
        <v>1</v>
      </c>
    </row>
    <row r="154" spans="1:48" ht="15.6" x14ac:dyDescent="0.25">
      <c r="A154" s="5" t="s">
        <v>148</v>
      </c>
      <c r="B154" s="5" t="s">
        <v>168</v>
      </c>
      <c r="C154" s="6" t="s">
        <v>307</v>
      </c>
      <c r="D154" s="6" t="s">
        <v>175</v>
      </c>
      <c r="E154" s="5" t="s">
        <v>313</v>
      </c>
      <c r="F154" s="6" t="s">
        <v>191</v>
      </c>
      <c r="G154" s="6" t="s">
        <v>190</v>
      </c>
      <c r="H154" s="6">
        <v>59.07</v>
      </c>
      <c r="I154" s="6">
        <v>54.35</v>
      </c>
      <c r="J154" s="6">
        <v>31.34</v>
      </c>
      <c r="K154" s="6">
        <v>121.9</v>
      </c>
      <c r="L154" s="6">
        <v>181</v>
      </c>
      <c r="M154" s="6" t="s">
        <v>196</v>
      </c>
      <c r="N154" s="6">
        <v>13.92</v>
      </c>
      <c r="O154" s="6">
        <v>27.76</v>
      </c>
      <c r="P154" s="6">
        <v>117</v>
      </c>
      <c r="Q154" s="6" t="s">
        <v>319</v>
      </c>
      <c r="R154" s="6">
        <v>3</v>
      </c>
      <c r="S154" s="6">
        <f t="shared" si="13"/>
        <v>15</v>
      </c>
      <c r="T154" s="6">
        <v>4</v>
      </c>
      <c r="U154" s="6">
        <v>11</v>
      </c>
      <c r="V154" s="6">
        <v>65.150000000000006</v>
      </c>
      <c r="W154" s="6">
        <v>29.776384549239658</v>
      </c>
      <c r="X154" s="6" t="s">
        <v>319</v>
      </c>
      <c r="Y154" s="6">
        <v>3</v>
      </c>
      <c r="Z154" s="6">
        <f t="shared" si="18"/>
        <v>19</v>
      </c>
      <c r="AA154" s="6">
        <v>1</v>
      </c>
      <c r="AB154" s="6">
        <v>18</v>
      </c>
      <c r="AC154" s="6">
        <v>47.92</v>
      </c>
      <c r="AD154" s="6">
        <v>26.183248783936563</v>
      </c>
      <c r="AL154" s="6">
        <f t="shared" si="14"/>
        <v>3</v>
      </c>
      <c r="AM154" s="6">
        <f t="shared" si="15"/>
        <v>34</v>
      </c>
      <c r="AN154" s="6">
        <v>0.95010799455136119</v>
      </c>
      <c r="AO154" s="6">
        <v>0.83545784249957122</v>
      </c>
      <c r="AQ154" s="6">
        <f t="shared" si="16"/>
        <v>0.89278291852546621</v>
      </c>
      <c r="AR154" s="6">
        <v>79.650000000000006</v>
      </c>
      <c r="AS154" s="6">
        <v>0.8571428571428571</v>
      </c>
      <c r="AT154" s="2"/>
      <c r="AU154" s="2">
        <v>632.73557409822365</v>
      </c>
      <c r="AV154" s="2">
        <f t="shared" si="17"/>
        <v>0.62469613259668511</v>
      </c>
    </row>
    <row r="155" spans="1:48" ht="15.6" x14ac:dyDescent="0.25">
      <c r="A155" s="5" t="s">
        <v>149</v>
      </c>
      <c r="B155" s="5" t="s">
        <v>168</v>
      </c>
      <c r="C155" s="6" t="s">
        <v>307</v>
      </c>
      <c r="D155" s="6" t="s">
        <v>187</v>
      </c>
      <c r="E155" s="5" t="s">
        <v>314</v>
      </c>
      <c r="F155" s="6" t="s">
        <v>189</v>
      </c>
      <c r="G155" s="6" t="s">
        <v>317</v>
      </c>
      <c r="H155" s="6">
        <v>73.8</v>
      </c>
      <c r="I155" s="6">
        <v>55.5</v>
      </c>
      <c r="J155" s="6">
        <v>35.61</v>
      </c>
      <c r="K155" s="6">
        <v>162.80000000000001</v>
      </c>
      <c r="L155" s="6">
        <v>206.94</v>
      </c>
      <c r="Q155" s="6" t="s">
        <v>319</v>
      </c>
      <c r="R155" s="6">
        <v>3</v>
      </c>
      <c r="S155" s="6">
        <f t="shared" si="13"/>
        <v>22</v>
      </c>
      <c r="T155" s="6">
        <v>0</v>
      </c>
      <c r="U155" s="6">
        <v>22</v>
      </c>
      <c r="V155" s="6">
        <v>56.22</v>
      </c>
      <c r="W155" s="6">
        <v>32.55960587187321</v>
      </c>
      <c r="X155" s="6" t="s">
        <v>319</v>
      </c>
      <c r="Y155" s="6">
        <v>2</v>
      </c>
      <c r="Z155" s="6">
        <f t="shared" si="18"/>
        <v>12</v>
      </c>
      <c r="AA155" s="6">
        <v>4</v>
      </c>
      <c r="AB155" s="6">
        <v>8</v>
      </c>
      <c r="AC155" s="6">
        <v>70.180000000000007</v>
      </c>
      <c r="AD155" s="6">
        <v>29.078659966250893</v>
      </c>
      <c r="AE155" s="6" t="s">
        <v>319</v>
      </c>
      <c r="AF155" s="6">
        <v>4</v>
      </c>
      <c r="AG155" s="6">
        <f t="shared" si="12"/>
        <v>14</v>
      </c>
      <c r="AH155" s="6">
        <v>2</v>
      </c>
      <c r="AI155" s="6">
        <v>12</v>
      </c>
      <c r="AJ155" s="6">
        <v>30.61</v>
      </c>
      <c r="AK155" s="6">
        <v>16.988515775924807</v>
      </c>
      <c r="AL155" s="6">
        <f t="shared" si="14"/>
        <v>3</v>
      </c>
      <c r="AM155" s="6">
        <f t="shared" si="15"/>
        <v>48</v>
      </c>
      <c r="AN155" s="6">
        <v>0.91433883380716685</v>
      </c>
      <c r="AO155" s="6">
        <v>0.81658691284051932</v>
      </c>
      <c r="AP155" s="6">
        <v>0.47707149047809061</v>
      </c>
      <c r="AQ155" s="6">
        <f t="shared" si="16"/>
        <v>0.73599907904192552</v>
      </c>
      <c r="AR155" s="6">
        <v>64.12222222222222</v>
      </c>
      <c r="AS155" s="6">
        <v>0.75</v>
      </c>
      <c r="AT155" s="2">
        <v>0.65475099646022961</v>
      </c>
      <c r="AU155" s="2">
        <v>1234.5190981221817</v>
      </c>
      <c r="AV155" s="2">
        <f t="shared" si="17"/>
        <v>0.75872233497632158</v>
      </c>
    </row>
    <row r="156" spans="1:48" ht="15.6" x14ac:dyDescent="0.25">
      <c r="A156" s="5" t="s">
        <v>150</v>
      </c>
      <c r="B156" s="5" t="s">
        <v>168</v>
      </c>
      <c r="C156" s="6" t="s">
        <v>307</v>
      </c>
      <c r="D156" s="6" t="s">
        <v>185</v>
      </c>
      <c r="E156" s="5" t="s">
        <v>313</v>
      </c>
      <c r="F156" s="6">
        <v>0</v>
      </c>
      <c r="G156" s="6" t="s">
        <v>315</v>
      </c>
      <c r="H156" s="6">
        <v>53.5</v>
      </c>
      <c r="I156" s="6">
        <v>41.45</v>
      </c>
      <c r="J156" s="6">
        <v>24.54</v>
      </c>
      <c r="K156" s="6">
        <v>54.3</v>
      </c>
      <c r="L156" s="6">
        <v>149.23000000000002</v>
      </c>
      <c r="Q156" s="6" t="s">
        <v>319</v>
      </c>
      <c r="R156" s="6">
        <v>3</v>
      </c>
      <c r="S156" s="6">
        <f t="shared" si="13"/>
        <v>19</v>
      </c>
      <c r="T156" s="6">
        <v>0</v>
      </c>
      <c r="U156" s="6">
        <v>19</v>
      </c>
      <c r="V156" s="6">
        <v>54.400000000000006</v>
      </c>
      <c r="W156" s="6">
        <v>11.672001541776943</v>
      </c>
      <c r="X156" s="6" t="s">
        <v>319</v>
      </c>
      <c r="Y156" s="6">
        <v>3</v>
      </c>
      <c r="Z156" s="6">
        <f t="shared" si="18"/>
        <v>12</v>
      </c>
      <c r="AA156" s="6">
        <v>1</v>
      </c>
      <c r="AB156" s="6">
        <v>11</v>
      </c>
      <c r="AC156" s="6">
        <v>60.179999999999993</v>
      </c>
      <c r="AD156" s="6">
        <v>19.193672529298322</v>
      </c>
      <c r="AL156" s="6">
        <f t="shared" si="14"/>
        <v>3</v>
      </c>
      <c r="AM156" s="6">
        <f t="shared" si="15"/>
        <v>31</v>
      </c>
      <c r="AN156" s="6">
        <v>0.47563168466898709</v>
      </c>
      <c r="AO156" s="6">
        <v>0.78213824487768224</v>
      </c>
      <c r="AQ156" s="6">
        <f t="shared" si="16"/>
        <v>0.62888496477333466</v>
      </c>
      <c r="AR156" s="6">
        <v>65.849999999999994</v>
      </c>
      <c r="AS156" s="6">
        <v>0.6875</v>
      </c>
      <c r="AT156" s="2">
        <v>0.25517637003482901</v>
      </c>
      <c r="AU156" s="2">
        <v>353.65889350638042</v>
      </c>
      <c r="AV156" s="2">
        <f t="shared" si="17"/>
        <v>0.76780808148495605</v>
      </c>
    </row>
    <row r="157" spans="1:48" ht="15.6" x14ac:dyDescent="0.25">
      <c r="A157" s="5" t="s">
        <v>151</v>
      </c>
      <c r="B157" s="5" t="s">
        <v>168</v>
      </c>
      <c r="C157" s="6" t="s">
        <v>307</v>
      </c>
      <c r="D157" s="6" t="s">
        <v>174</v>
      </c>
      <c r="E157" s="5" t="s">
        <v>313</v>
      </c>
      <c r="F157" s="6">
        <v>0</v>
      </c>
      <c r="G157" s="6" t="s">
        <v>315</v>
      </c>
      <c r="H157" s="6">
        <v>48.42</v>
      </c>
      <c r="I157" s="6">
        <v>48.34</v>
      </c>
      <c r="J157" s="6">
        <v>32.78</v>
      </c>
      <c r="K157" s="6">
        <v>83.8</v>
      </c>
      <c r="L157" s="6">
        <v>149.83000000000001</v>
      </c>
      <c r="Q157" s="6" t="s">
        <v>319</v>
      </c>
      <c r="R157" s="6">
        <v>2</v>
      </c>
      <c r="S157" s="6">
        <f t="shared" si="13"/>
        <v>7</v>
      </c>
      <c r="T157" s="6">
        <v>2</v>
      </c>
      <c r="U157" s="6">
        <v>5</v>
      </c>
      <c r="V157" s="6">
        <v>40.01</v>
      </c>
      <c r="W157" s="6">
        <v>19.487137843101916</v>
      </c>
      <c r="X157" s="6" t="s">
        <v>319</v>
      </c>
      <c r="Y157" s="6">
        <v>3</v>
      </c>
      <c r="Z157" s="6">
        <f t="shared" si="18"/>
        <v>28</v>
      </c>
      <c r="AA157" s="6">
        <v>5</v>
      </c>
      <c r="AB157" s="6">
        <v>23</v>
      </c>
      <c r="AC157" s="6">
        <v>76.31</v>
      </c>
      <c r="AD157" s="6">
        <v>22.225381177751213</v>
      </c>
      <c r="AL157" s="6">
        <f t="shared" si="14"/>
        <v>2.5</v>
      </c>
      <c r="AM157" s="6">
        <f t="shared" si="15"/>
        <v>35</v>
      </c>
      <c r="AN157" s="6">
        <v>0.59448254554917379</v>
      </c>
      <c r="AO157" s="6">
        <v>0.67801650938838354</v>
      </c>
      <c r="AQ157" s="6">
        <f t="shared" si="16"/>
        <v>0.63624952746877872</v>
      </c>
      <c r="AR157" s="6">
        <v>74</v>
      </c>
      <c r="AS157" s="6">
        <v>0.625</v>
      </c>
      <c r="AT157" s="2">
        <v>0.50704667264717629</v>
      </c>
      <c r="AU157" s="2">
        <v>485.20002125056351</v>
      </c>
      <c r="AV157" s="2">
        <f t="shared" si="17"/>
        <v>0.77634652606287113</v>
      </c>
    </row>
    <row r="158" spans="1:48" ht="15.6" x14ac:dyDescent="0.25">
      <c r="A158" s="5" t="s">
        <v>152</v>
      </c>
      <c r="B158" s="5" t="s">
        <v>168</v>
      </c>
      <c r="C158" s="6" t="s">
        <v>307</v>
      </c>
      <c r="D158" s="6" t="s">
        <v>171</v>
      </c>
      <c r="E158" s="5" t="s">
        <v>312</v>
      </c>
      <c r="F158" s="6">
        <v>0</v>
      </c>
      <c r="G158" s="6" t="s">
        <v>315</v>
      </c>
      <c r="H158" s="6">
        <v>55.32</v>
      </c>
      <c r="I158" s="6">
        <v>31.38</v>
      </c>
      <c r="J158" s="6">
        <v>27.46</v>
      </c>
      <c r="K158" s="6">
        <v>53.9</v>
      </c>
      <c r="L158" s="6">
        <v>147.13999999999999</v>
      </c>
      <c r="Q158" s="6" t="s">
        <v>319</v>
      </c>
      <c r="R158" s="6">
        <v>3</v>
      </c>
      <c r="S158" s="6">
        <f t="shared" si="13"/>
        <v>13</v>
      </c>
      <c r="T158" s="6">
        <v>2</v>
      </c>
      <c r="U158" s="6">
        <v>11</v>
      </c>
      <c r="V158" s="6">
        <v>33.22</v>
      </c>
      <c r="W158" s="6">
        <v>18.859760583466677</v>
      </c>
      <c r="AL158" s="6">
        <f t="shared" si="14"/>
        <v>3</v>
      </c>
      <c r="AM158" s="6">
        <f t="shared" si="15"/>
        <v>13</v>
      </c>
      <c r="AN158" s="6">
        <v>0.68680846990046163</v>
      </c>
      <c r="AQ158" s="6">
        <f t="shared" si="16"/>
        <v>0.68680846990046163</v>
      </c>
      <c r="AR158" s="6">
        <v>62</v>
      </c>
      <c r="AS158" s="6">
        <v>0.75</v>
      </c>
      <c r="AT158" s="2">
        <v>0.24254066367472699</v>
      </c>
      <c r="AU158" s="2">
        <v>62.652124658276293</v>
      </c>
      <c r="AV158" s="2">
        <f t="shared" si="17"/>
        <v>0.22577137420144081</v>
      </c>
    </row>
    <row r="159" spans="1:48" ht="15.6" x14ac:dyDescent="0.25">
      <c r="A159" s="5" t="s">
        <v>153</v>
      </c>
      <c r="B159" s="5" t="s">
        <v>168</v>
      </c>
      <c r="C159" s="6" t="s">
        <v>307</v>
      </c>
      <c r="D159" s="6" t="s">
        <v>170</v>
      </c>
      <c r="E159" s="5" t="s">
        <v>312</v>
      </c>
      <c r="F159" s="6" t="s">
        <v>191</v>
      </c>
      <c r="G159" s="6" t="s">
        <v>316</v>
      </c>
      <c r="H159" s="6">
        <v>48.38</v>
      </c>
      <c r="I159" s="6">
        <v>45.1</v>
      </c>
      <c r="J159" s="6">
        <v>31.27</v>
      </c>
      <c r="K159" s="6">
        <v>72.400000000000006</v>
      </c>
      <c r="L159" s="6">
        <v>139.88</v>
      </c>
      <c r="Q159" s="6" t="s">
        <v>319</v>
      </c>
      <c r="R159" s="6">
        <v>3</v>
      </c>
      <c r="S159" s="6">
        <f t="shared" si="13"/>
        <v>27</v>
      </c>
      <c r="T159" s="6">
        <v>3</v>
      </c>
      <c r="U159" s="6">
        <v>24</v>
      </c>
      <c r="V159" s="6">
        <v>92.25</v>
      </c>
      <c r="W159" s="6">
        <v>23.974279008494676</v>
      </c>
      <c r="AL159" s="6">
        <f t="shared" si="14"/>
        <v>3</v>
      </c>
      <c r="AM159" s="6">
        <f t="shared" si="15"/>
        <v>27</v>
      </c>
      <c r="AN159" s="6">
        <v>0.76668624907242333</v>
      </c>
      <c r="AQ159" s="6">
        <f t="shared" si="16"/>
        <v>0.76668624907242333</v>
      </c>
      <c r="AR159" s="6">
        <v>75</v>
      </c>
      <c r="AS159" s="6">
        <v>0.5</v>
      </c>
      <c r="AT159" s="2">
        <v>0.51880938491696682</v>
      </c>
      <c r="AU159" s="2">
        <v>221.16272385336339</v>
      </c>
      <c r="AV159" s="2">
        <f t="shared" si="17"/>
        <v>0.659493851873034</v>
      </c>
    </row>
    <row r="160" spans="1:48" ht="15.6" x14ac:dyDescent="0.25">
      <c r="A160" s="5" t="s">
        <v>154</v>
      </c>
      <c r="B160" s="5" t="s">
        <v>168</v>
      </c>
      <c r="C160" s="6" t="s">
        <v>307</v>
      </c>
      <c r="D160" s="6" t="s">
        <v>172</v>
      </c>
      <c r="E160" s="5" t="s">
        <v>312</v>
      </c>
      <c r="F160" s="6" t="s">
        <v>191</v>
      </c>
      <c r="G160" s="6" t="s">
        <v>190</v>
      </c>
      <c r="H160" s="6">
        <v>53.4</v>
      </c>
      <c r="I160" s="6">
        <v>44.6</v>
      </c>
      <c r="J160" s="6">
        <v>18.899999999999999</v>
      </c>
      <c r="K160" s="6">
        <v>41.2</v>
      </c>
      <c r="L160" s="6">
        <v>152.47</v>
      </c>
      <c r="Q160" s="6" t="s">
        <v>319</v>
      </c>
      <c r="R160" s="6">
        <v>3</v>
      </c>
      <c r="S160" s="6">
        <f t="shared" si="13"/>
        <v>11</v>
      </c>
      <c r="T160" s="6">
        <v>4</v>
      </c>
      <c r="U160" s="6">
        <v>7</v>
      </c>
      <c r="V160" s="6">
        <v>46.69</v>
      </c>
      <c r="W160" s="6">
        <v>19.537533109376934</v>
      </c>
      <c r="AL160" s="6">
        <f t="shared" si="14"/>
        <v>3</v>
      </c>
      <c r="AM160" s="6">
        <f t="shared" si="15"/>
        <v>11</v>
      </c>
      <c r="AN160" s="6">
        <v>1</v>
      </c>
      <c r="AQ160" s="6">
        <f t="shared" si="16"/>
        <v>1</v>
      </c>
      <c r="AR160" s="6">
        <v>60</v>
      </c>
      <c r="AS160" s="6">
        <v>0.75</v>
      </c>
      <c r="AT160" s="2"/>
      <c r="AU160" s="2">
        <v>91.220742087680904</v>
      </c>
      <c r="AV160" s="2">
        <f t="shared" si="17"/>
        <v>0.30622417524758966</v>
      </c>
    </row>
    <row r="161" spans="1:48" ht="15.6" x14ac:dyDescent="0.25">
      <c r="A161" s="5" t="s">
        <v>155</v>
      </c>
      <c r="B161" s="5" t="s">
        <v>168</v>
      </c>
      <c r="C161" s="6" t="s">
        <v>307</v>
      </c>
      <c r="D161" s="6" t="s">
        <v>174</v>
      </c>
      <c r="E161" s="5" t="s">
        <v>313</v>
      </c>
      <c r="F161" s="6" t="s">
        <v>192</v>
      </c>
      <c r="G161" s="6" t="s">
        <v>316</v>
      </c>
      <c r="H161" s="6">
        <v>51.6</v>
      </c>
      <c r="I161" s="6">
        <v>41.41</v>
      </c>
      <c r="J161" s="6">
        <v>30.98</v>
      </c>
      <c r="K161" s="6">
        <v>68.5</v>
      </c>
      <c r="L161" s="6">
        <v>146.16000000000003</v>
      </c>
      <c r="Q161" s="6" t="s">
        <v>319</v>
      </c>
      <c r="R161" s="6">
        <v>3</v>
      </c>
      <c r="S161" s="6">
        <f t="shared" si="13"/>
        <v>20</v>
      </c>
      <c r="T161" s="6">
        <v>4</v>
      </c>
      <c r="U161" s="6">
        <v>16</v>
      </c>
      <c r="V161" s="6">
        <v>58.98</v>
      </c>
      <c r="W161" s="6">
        <v>30.070163865149066</v>
      </c>
      <c r="X161" s="6" t="s">
        <v>319</v>
      </c>
      <c r="Y161" s="6">
        <v>3</v>
      </c>
      <c r="Z161" s="6">
        <f t="shared" si="18"/>
        <v>20</v>
      </c>
      <c r="AA161" s="6">
        <v>2</v>
      </c>
      <c r="AB161" s="6">
        <v>18</v>
      </c>
      <c r="AC161" s="6">
        <v>66.2</v>
      </c>
      <c r="AD161" s="6">
        <v>28.400555908098415</v>
      </c>
      <c r="AL161" s="6">
        <f t="shared" si="14"/>
        <v>3</v>
      </c>
      <c r="AM161" s="6">
        <f t="shared" si="15"/>
        <v>40</v>
      </c>
      <c r="AN161" s="6">
        <v>0.97063149984341723</v>
      </c>
      <c r="AO161" s="6">
        <v>0.91673840891215019</v>
      </c>
      <c r="AQ161" s="6">
        <f t="shared" si="16"/>
        <v>0.94368495437778366</v>
      </c>
      <c r="AR161" s="6">
        <v>73</v>
      </c>
      <c r="AS161" s="6">
        <v>1</v>
      </c>
      <c r="AT161" s="2"/>
      <c r="AU161" s="2">
        <v>731.936470121512</v>
      </c>
      <c r="AV161" s="2">
        <f t="shared" si="17"/>
        <v>0.85645867542419252</v>
      </c>
    </row>
    <row r="162" spans="1:48" ht="15.6" x14ac:dyDescent="0.25">
      <c r="A162" s="5" t="s">
        <v>156</v>
      </c>
      <c r="B162" s="5" t="s">
        <v>168</v>
      </c>
      <c r="C162" s="6" t="s">
        <v>307</v>
      </c>
      <c r="D162" s="6" t="s">
        <v>188</v>
      </c>
      <c r="E162" s="5" t="s">
        <v>314</v>
      </c>
      <c r="F162" s="6">
        <v>0</v>
      </c>
      <c r="G162" s="6" t="s">
        <v>315</v>
      </c>
      <c r="H162" s="6">
        <v>59.67</v>
      </c>
      <c r="I162" s="6">
        <v>39.6</v>
      </c>
      <c r="J162" s="6">
        <v>38.1</v>
      </c>
      <c r="K162" s="6">
        <v>96.7</v>
      </c>
      <c r="L162" s="6">
        <v>146.68</v>
      </c>
      <c r="Q162" s="6" t="s">
        <v>319</v>
      </c>
      <c r="R162" s="6">
        <v>3</v>
      </c>
      <c r="S162" s="6">
        <f t="shared" si="13"/>
        <v>49</v>
      </c>
      <c r="T162" s="6">
        <v>6</v>
      </c>
      <c r="U162" s="6">
        <v>43</v>
      </c>
      <c r="V162" s="6">
        <v>146.68</v>
      </c>
      <c r="W162" s="6">
        <v>32.798599231679162</v>
      </c>
      <c r="AL162" s="6">
        <f t="shared" si="14"/>
        <v>3</v>
      </c>
      <c r="AM162" s="6">
        <f t="shared" si="15"/>
        <v>49</v>
      </c>
      <c r="AN162" s="6">
        <v>0.86085562287871809</v>
      </c>
      <c r="AQ162" s="6">
        <f t="shared" si="16"/>
        <v>0.86085562287871809</v>
      </c>
      <c r="AR162" s="6">
        <v>96.333333333333329</v>
      </c>
      <c r="AS162" s="6">
        <v>1</v>
      </c>
      <c r="AT162" s="2">
        <v>0.7981480393418513</v>
      </c>
      <c r="AU162" s="2">
        <v>481.08985353027003</v>
      </c>
      <c r="AV162" s="2">
        <f t="shared" si="17"/>
        <v>1</v>
      </c>
    </row>
    <row r="163" spans="1:48" ht="15.6" x14ac:dyDescent="0.25">
      <c r="A163" s="5" t="s">
        <v>157</v>
      </c>
      <c r="B163" s="5" t="s">
        <v>168</v>
      </c>
      <c r="C163" s="6" t="s">
        <v>307</v>
      </c>
      <c r="D163" s="6" t="s">
        <v>188</v>
      </c>
      <c r="E163" s="5" t="s">
        <v>314</v>
      </c>
      <c r="F163" s="6">
        <v>0</v>
      </c>
      <c r="G163" s="6" t="s">
        <v>315</v>
      </c>
      <c r="H163" s="6">
        <v>60.2</v>
      </c>
      <c r="I163" s="6">
        <v>35.549999999999997</v>
      </c>
      <c r="J163" s="6">
        <v>28.06</v>
      </c>
      <c r="K163" s="6">
        <v>61.5</v>
      </c>
      <c r="L163" s="6">
        <v>156.59</v>
      </c>
      <c r="Q163" s="6" t="s">
        <v>319</v>
      </c>
      <c r="R163" s="6">
        <v>3</v>
      </c>
      <c r="S163" s="6">
        <f t="shared" si="13"/>
        <v>41</v>
      </c>
      <c r="T163" s="6">
        <v>5</v>
      </c>
      <c r="U163" s="6">
        <v>36</v>
      </c>
      <c r="V163" s="6">
        <v>156.59</v>
      </c>
      <c r="W163" s="6">
        <v>25.386722076360456</v>
      </c>
      <c r="AL163" s="6">
        <f t="shared" si="14"/>
        <v>3</v>
      </c>
      <c r="AM163" s="6">
        <f t="shared" si="15"/>
        <v>41</v>
      </c>
      <c r="AN163" s="6">
        <v>0.90472993857307404</v>
      </c>
      <c r="AQ163" s="6">
        <f t="shared" si="16"/>
        <v>0.90472993857307404</v>
      </c>
      <c r="AR163" s="6">
        <v>73.333333333333329</v>
      </c>
      <c r="AS163" s="6">
        <v>1</v>
      </c>
      <c r="AT163" s="2">
        <v>0.90547474936137773</v>
      </c>
      <c r="AU163" s="2">
        <v>397.53068099372842</v>
      </c>
      <c r="AV163" s="2">
        <f t="shared" si="17"/>
        <v>1</v>
      </c>
    </row>
    <row r="164" spans="1:48" ht="15.6" x14ac:dyDescent="0.25">
      <c r="A164" s="5" t="s">
        <v>158</v>
      </c>
      <c r="B164" s="5" t="s">
        <v>168</v>
      </c>
      <c r="C164" s="6" t="s">
        <v>307</v>
      </c>
      <c r="D164" s="6" t="s">
        <v>188</v>
      </c>
      <c r="E164" s="5" t="s">
        <v>314</v>
      </c>
      <c r="F164" s="6">
        <v>0</v>
      </c>
      <c r="G164" s="6" t="s">
        <v>315</v>
      </c>
      <c r="H164" s="6">
        <v>67.78</v>
      </c>
      <c r="I164" s="6">
        <v>35.17</v>
      </c>
      <c r="J164" s="6">
        <v>30.33</v>
      </c>
      <c r="K164" s="6">
        <v>77.400000000000006</v>
      </c>
      <c r="L164" s="6">
        <v>166.26999999999998</v>
      </c>
      <c r="Q164" s="6" t="s">
        <v>319</v>
      </c>
      <c r="R164" s="6">
        <v>3</v>
      </c>
      <c r="S164" s="6">
        <f t="shared" si="13"/>
        <v>51</v>
      </c>
      <c r="T164" s="6">
        <v>4</v>
      </c>
      <c r="U164" s="6">
        <v>47</v>
      </c>
      <c r="V164" s="6">
        <v>166.26999999999998</v>
      </c>
      <c r="W164" s="6">
        <v>32.181284273566874</v>
      </c>
      <c r="AL164" s="6">
        <f t="shared" si="14"/>
        <v>3</v>
      </c>
      <c r="AM164" s="6">
        <f t="shared" si="15"/>
        <v>51</v>
      </c>
      <c r="AN164" s="6">
        <v>1</v>
      </c>
      <c r="AQ164" s="6">
        <f t="shared" si="16"/>
        <v>1</v>
      </c>
      <c r="AR164" s="6">
        <v>88.666666666666671</v>
      </c>
      <c r="AS164" s="6">
        <v>0.9375</v>
      </c>
      <c r="AT164" s="2"/>
      <c r="AU164" s="2">
        <v>535.07821361659637</v>
      </c>
      <c r="AV164" s="2">
        <f t="shared" si="17"/>
        <v>1</v>
      </c>
    </row>
    <row r="165" spans="1:48" ht="15.6" x14ac:dyDescent="0.25">
      <c r="A165" s="5" t="s">
        <v>159</v>
      </c>
      <c r="B165" s="5" t="s">
        <v>168</v>
      </c>
      <c r="C165" s="6" t="s">
        <v>307</v>
      </c>
      <c r="D165" s="6" t="s">
        <v>188</v>
      </c>
      <c r="E165" s="5" t="s">
        <v>314</v>
      </c>
      <c r="F165" s="6" t="s">
        <v>191</v>
      </c>
      <c r="G165" s="6" t="s">
        <v>315</v>
      </c>
      <c r="H165" s="6">
        <v>65.08</v>
      </c>
      <c r="I165" s="6">
        <v>40.200000000000003</v>
      </c>
      <c r="J165" s="6">
        <v>29.4</v>
      </c>
      <c r="K165" s="6">
        <v>99.9</v>
      </c>
      <c r="L165" s="6">
        <v>172.78</v>
      </c>
      <c r="Q165" s="6" t="s">
        <v>319</v>
      </c>
      <c r="R165" s="6">
        <v>4</v>
      </c>
      <c r="S165" s="6">
        <f t="shared" si="13"/>
        <v>87</v>
      </c>
      <c r="T165" s="6">
        <v>10</v>
      </c>
      <c r="U165" s="6">
        <v>77</v>
      </c>
      <c r="V165" s="6">
        <v>172.78</v>
      </c>
      <c r="W165" s="6">
        <v>27.138514194731744</v>
      </c>
      <c r="AL165" s="6">
        <f t="shared" si="14"/>
        <v>4</v>
      </c>
      <c r="AM165" s="6">
        <f t="shared" si="15"/>
        <v>87</v>
      </c>
      <c r="AN165" s="6">
        <v>0.92307871410652198</v>
      </c>
      <c r="AQ165" s="6">
        <f t="shared" si="16"/>
        <v>0.92307871410652198</v>
      </c>
      <c r="AR165" s="6">
        <v>91.666666666666671</v>
      </c>
      <c r="AS165" s="6">
        <v>0.75</v>
      </c>
      <c r="AT165" s="2">
        <v>0.8313396391678084</v>
      </c>
      <c r="AU165" s="2">
        <v>468.89924825657511</v>
      </c>
      <c r="AV165" s="2">
        <f t="shared" si="17"/>
        <v>1</v>
      </c>
    </row>
    <row r="166" spans="1:48" ht="15.6" x14ac:dyDescent="0.25">
      <c r="A166" s="5" t="s">
        <v>160</v>
      </c>
      <c r="B166" s="5" t="s">
        <v>168</v>
      </c>
      <c r="C166" s="6" t="s">
        <v>307</v>
      </c>
      <c r="D166" s="6" t="s">
        <v>172</v>
      </c>
      <c r="E166" s="5" t="s">
        <v>312</v>
      </c>
      <c r="F166" s="6" t="s">
        <v>192</v>
      </c>
      <c r="G166" s="6" t="s">
        <v>190</v>
      </c>
      <c r="H166" s="6">
        <v>40.6</v>
      </c>
      <c r="I166" s="6">
        <v>37.9</v>
      </c>
      <c r="J166" s="6">
        <v>15.7</v>
      </c>
      <c r="K166" s="6">
        <v>20.3</v>
      </c>
      <c r="L166" s="6">
        <v>97.5</v>
      </c>
      <c r="M166" s="6" t="s">
        <v>196</v>
      </c>
      <c r="N166" s="6">
        <v>7.32</v>
      </c>
      <c r="O166" s="6">
        <v>18.48</v>
      </c>
      <c r="P166" s="6">
        <v>124</v>
      </c>
      <c r="Q166" s="6" t="s">
        <v>319</v>
      </c>
      <c r="R166" s="6">
        <v>2</v>
      </c>
      <c r="S166" s="6">
        <f t="shared" si="13"/>
        <v>9</v>
      </c>
      <c r="T166" s="6">
        <v>4</v>
      </c>
      <c r="U166" s="6">
        <v>5</v>
      </c>
      <c r="V166" s="6">
        <v>40.15</v>
      </c>
      <c r="W166" s="6">
        <v>5.4730721290354252</v>
      </c>
      <c r="AL166" s="6">
        <f t="shared" si="14"/>
        <v>2</v>
      </c>
      <c r="AM166" s="6">
        <f t="shared" si="15"/>
        <v>9</v>
      </c>
      <c r="AN166" s="6">
        <v>0.34860332032072772</v>
      </c>
      <c r="AQ166" s="6">
        <f t="shared" si="16"/>
        <v>0.34860332032072772</v>
      </c>
      <c r="AR166" s="6">
        <v>50.333333333333336</v>
      </c>
      <c r="AS166" s="6">
        <v>0.5</v>
      </c>
      <c r="AT166" s="2">
        <v>2.6855669220810046E-2</v>
      </c>
      <c r="AU166" s="2">
        <v>21.974384598077229</v>
      </c>
      <c r="AV166" s="2">
        <f t="shared" si="17"/>
        <v>0.41179487179487179</v>
      </c>
    </row>
    <row r="167" spans="1:48" ht="15.6" x14ac:dyDescent="0.25">
      <c r="A167" s="5" t="s">
        <v>161</v>
      </c>
      <c r="B167" s="5" t="s">
        <v>265</v>
      </c>
      <c r="C167" s="6" t="s">
        <v>307</v>
      </c>
      <c r="D167" s="6" t="s">
        <v>172</v>
      </c>
      <c r="E167" s="5" t="s">
        <v>312</v>
      </c>
      <c r="F167" s="6">
        <v>0</v>
      </c>
      <c r="G167" s="6" t="s">
        <v>315</v>
      </c>
      <c r="H167" s="6">
        <v>56.4</v>
      </c>
      <c r="I167" s="6">
        <v>26.26</v>
      </c>
      <c r="J167" s="6">
        <v>29.57</v>
      </c>
      <c r="K167" s="6">
        <v>60.4</v>
      </c>
      <c r="L167" s="6">
        <v>126.55000000000001</v>
      </c>
      <c r="Q167" s="6" t="s">
        <v>319</v>
      </c>
      <c r="R167" s="6">
        <v>3</v>
      </c>
      <c r="S167" s="6">
        <f t="shared" si="13"/>
        <v>32</v>
      </c>
      <c r="T167" s="6">
        <v>7</v>
      </c>
      <c r="U167" s="6">
        <v>25</v>
      </c>
      <c r="V167" s="6">
        <v>69.150000000000006</v>
      </c>
      <c r="W167" s="6">
        <v>23.900503615307255</v>
      </c>
      <c r="AL167" s="6">
        <f t="shared" si="14"/>
        <v>3</v>
      </c>
      <c r="AM167" s="6">
        <f t="shared" si="15"/>
        <v>32</v>
      </c>
      <c r="AN167" s="6">
        <v>0.80826863764989021</v>
      </c>
      <c r="AQ167" s="6">
        <f t="shared" si="16"/>
        <v>0.80826863764989021</v>
      </c>
      <c r="AR167" s="6">
        <v>85.333333333333329</v>
      </c>
      <c r="AS167" s="6">
        <v>1</v>
      </c>
      <c r="AT167" s="2">
        <v>0.64449002180317017</v>
      </c>
      <c r="AU167" s="2">
        <v>165.27198249984968</v>
      </c>
      <c r="AV167" s="2">
        <f t="shared" si="17"/>
        <v>0.54642433820624259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39E0-1681-4D3E-A16C-52E1C75CE2BB}">
  <dimension ref="A1:N59"/>
  <sheetViews>
    <sheetView zoomScale="85" zoomScaleNormal="85" workbookViewId="0">
      <pane ySplit="1" topLeftCell="A2" activePane="bottomLeft" state="frozen"/>
      <selection pane="bottomLeft" activeCell="B8" sqref="B8"/>
    </sheetView>
  </sheetViews>
  <sheetFormatPr defaultColWidth="8.6640625" defaultRowHeight="13.8" x14ac:dyDescent="0.25"/>
  <cols>
    <col min="1" max="1" width="22.88671875" style="4" customWidth="1"/>
    <col min="2" max="2" width="13.77734375" style="4" customWidth="1"/>
    <col min="3" max="3" width="20.5546875" style="4" customWidth="1"/>
    <col min="4" max="5" width="8.6640625" style="4"/>
    <col min="6" max="6" width="9.44140625" style="4" customWidth="1"/>
    <col min="7" max="7" width="8.6640625" style="4"/>
    <col min="8" max="8" width="11.109375" style="4" customWidth="1"/>
    <col min="9" max="9" width="14.21875" style="4" customWidth="1"/>
    <col min="10" max="13" width="8.6640625" style="4"/>
    <col min="14" max="14" width="19.88671875" style="4" customWidth="1"/>
    <col min="15" max="16384" width="8.6640625" style="4"/>
  </cols>
  <sheetData>
    <row r="1" spans="1:14" x14ac:dyDescent="0.25">
      <c r="A1" s="8" t="s">
        <v>266</v>
      </c>
      <c r="B1" s="8" t="s">
        <v>167</v>
      </c>
      <c r="C1" s="3" t="s">
        <v>272</v>
      </c>
      <c r="D1" s="8" t="s">
        <v>162</v>
      </c>
      <c r="E1" s="8" t="s">
        <v>165</v>
      </c>
      <c r="F1" s="8" t="s">
        <v>163</v>
      </c>
      <c r="G1" s="8" t="s">
        <v>164</v>
      </c>
      <c r="H1" s="8" t="s">
        <v>261</v>
      </c>
      <c r="I1" s="3" t="s">
        <v>277</v>
      </c>
      <c r="J1" s="3" t="s">
        <v>279</v>
      </c>
      <c r="K1" s="3" t="s">
        <v>278</v>
      </c>
      <c r="L1" s="8" t="s">
        <v>195</v>
      </c>
      <c r="M1" s="8" t="s">
        <v>203</v>
      </c>
      <c r="N1" s="8" t="s">
        <v>199</v>
      </c>
    </row>
    <row r="2" spans="1:14" x14ac:dyDescent="0.25">
      <c r="A2" s="4" t="s">
        <v>204</v>
      </c>
      <c r="B2" s="4" t="s">
        <v>168</v>
      </c>
      <c r="C2" s="4" t="s">
        <v>326</v>
      </c>
      <c r="D2" s="4">
        <v>32.07</v>
      </c>
      <c r="E2" s="4">
        <v>24.7</v>
      </c>
      <c r="F2" s="4">
        <v>10.64</v>
      </c>
      <c r="G2" s="4">
        <v>6.3</v>
      </c>
      <c r="H2" s="4">
        <v>1.2983805668016195</v>
      </c>
      <c r="I2" s="4" t="s">
        <v>196</v>
      </c>
      <c r="J2" s="4">
        <v>5.41</v>
      </c>
      <c r="K2" s="4">
        <v>3.91</v>
      </c>
      <c r="L2" s="4">
        <v>114</v>
      </c>
      <c r="M2" s="4">
        <v>74</v>
      </c>
      <c r="N2" s="9">
        <v>0</v>
      </c>
    </row>
    <row r="3" spans="1:14" x14ac:dyDescent="0.25">
      <c r="A3" s="4" t="s">
        <v>205</v>
      </c>
      <c r="B3" s="4" t="s">
        <v>168</v>
      </c>
      <c r="C3" s="4" t="s">
        <v>326</v>
      </c>
      <c r="D3" s="4">
        <v>27.96</v>
      </c>
      <c r="E3" s="4">
        <v>21.83</v>
      </c>
      <c r="F3" s="4">
        <v>6.6</v>
      </c>
      <c r="G3" s="4">
        <v>5</v>
      </c>
      <c r="H3" s="4">
        <v>1.2808062299587726</v>
      </c>
      <c r="I3" s="4" t="s">
        <v>196</v>
      </c>
      <c r="J3" s="4">
        <v>9.93</v>
      </c>
      <c r="K3" s="4">
        <v>3.89</v>
      </c>
      <c r="L3" s="4">
        <v>112</v>
      </c>
      <c r="M3" s="4">
        <v>71</v>
      </c>
      <c r="N3" s="9">
        <v>0</v>
      </c>
    </row>
    <row r="4" spans="1:14" x14ac:dyDescent="0.25">
      <c r="A4" s="4" t="s">
        <v>206</v>
      </c>
      <c r="B4" s="4" t="s">
        <v>168</v>
      </c>
      <c r="C4" s="4" t="s">
        <v>326</v>
      </c>
      <c r="D4" s="4">
        <v>41.83</v>
      </c>
      <c r="E4" s="4">
        <v>27.39</v>
      </c>
      <c r="F4" s="4">
        <v>10.56</v>
      </c>
      <c r="G4" s="4">
        <v>10.4</v>
      </c>
      <c r="H4" s="4">
        <v>1.5271997079225994</v>
      </c>
      <c r="I4" s="4" t="s">
        <v>196</v>
      </c>
      <c r="J4" s="4">
        <v>19.399999999999999</v>
      </c>
      <c r="K4" s="4">
        <v>5.36</v>
      </c>
      <c r="L4" s="4">
        <v>122</v>
      </c>
      <c r="M4" s="4">
        <v>82</v>
      </c>
      <c r="N4" s="4" t="s">
        <v>192</v>
      </c>
    </row>
    <row r="5" spans="1:14" x14ac:dyDescent="0.25">
      <c r="A5" s="4" t="s">
        <v>207</v>
      </c>
      <c r="B5" s="4" t="s">
        <v>263</v>
      </c>
      <c r="C5" s="4" t="s">
        <v>326</v>
      </c>
      <c r="D5" s="4">
        <v>38.51</v>
      </c>
      <c r="E5" s="4">
        <v>28.83</v>
      </c>
      <c r="F5" s="4">
        <v>8.33</v>
      </c>
      <c r="G5" s="4">
        <v>8.6999999999999993</v>
      </c>
      <c r="H5" s="4">
        <v>1.3357613596947624</v>
      </c>
      <c r="I5" s="4" t="s">
        <v>196</v>
      </c>
      <c r="J5" s="4">
        <v>10.47</v>
      </c>
      <c r="K5" s="4">
        <v>5.2</v>
      </c>
      <c r="L5" s="4">
        <v>110</v>
      </c>
      <c r="M5" s="4">
        <v>78</v>
      </c>
      <c r="N5" s="9">
        <v>0</v>
      </c>
    </row>
    <row r="6" spans="1:14" x14ac:dyDescent="0.25">
      <c r="A6" s="4" t="s">
        <v>208</v>
      </c>
      <c r="B6" s="4" t="s">
        <v>168</v>
      </c>
      <c r="C6" s="4" t="s">
        <v>326</v>
      </c>
      <c r="D6" s="4">
        <v>25.83</v>
      </c>
      <c r="E6" s="4">
        <v>22.43</v>
      </c>
      <c r="F6" s="4">
        <v>7.5</v>
      </c>
      <c r="G6" s="4">
        <v>3.7</v>
      </c>
      <c r="H6" s="4">
        <v>1.1515827017387428</v>
      </c>
      <c r="I6" s="4" t="s">
        <v>196</v>
      </c>
      <c r="J6" s="4">
        <v>7.7</v>
      </c>
      <c r="K6" s="4">
        <v>3.02</v>
      </c>
      <c r="L6" s="4">
        <v>112</v>
      </c>
      <c r="M6" s="4">
        <v>64</v>
      </c>
      <c r="N6" s="4" t="s">
        <v>191</v>
      </c>
    </row>
    <row r="7" spans="1:14" x14ac:dyDescent="0.25">
      <c r="A7" s="4" t="s">
        <v>209</v>
      </c>
      <c r="B7" s="4" t="s">
        <v>168</v>
      </c>
      <c r="C7" s="4" t="s">
        <v>326</v>
      </c>
      <c r="D7" s="4">
        <v>30.57</v>
      </c>
      <c r="E7" s="4">
        <v>18.850000000000001</v>
      </c>
      <c r="F7" s="4">
        <v>5.75</v>
      </c>
      <c r="G7" s="4">
        <v>3</v>
      </c>
      <c r="H7" s="4">
        <v>1.6217506631299734</v>
      </c>
      <c r="I7" s="4" t="s">
        <v>196</v>
      </c>
      <c r="J7" s="4">
        <v>9.1999999999999993</v>
      </c>
      <c r="K7" s="4">
        <v>1.83</v>
      </c>
      <c r="L7" s="4">
        <v>115</v>
      </c>
      <c r="M7" s="4">
        <v>77</v>
      </c>
      <c r="N7" s="9">
        <v>0</v>
      </c>
    </row>
    <row r="8" spans="1:14" x14ac:dyDescent="0.25">
      <c r="A8" s="4" t="s">
        <v>210</v>
      </c>
      <c r="B8" s="4" t="s">
        <v>168</v>
      </c>
      <c r="C8" s="4" t="s">
        <v>326</v>
      </c>
      <c r="D8" s="4">
        <v>35.979999999999997</v>
      </c>
      <c r="E8" s="4">
        <v>21.59</v>
      </c>
      <c r="F8" s="4">
        <v>8.1199999999999992</v>
      </c>
      <c r="G8" s="4">
        <v>6.4</v>
      </c>
      <c r="H8" s="4">
        <v>1.6665122742010188</v>
      </c>
      <c r="I8" s="4" t="s">
        <v>196</v>
      </c>
      <c r="J8" s="4">
        <v>7.09</v>
      </c>
      <c r="K8" s="4">
        <v>3.88</v>
      </c>
      <c r="L8" s="4">
        <v>113</v>
      </c>
      <c r="M8" s="4">
        <v>81</v>
      </c>
      <c r="N8" s="9">
        <v>0</v>
      </c>
    </row>
    <row r="9" spans="1:14" x14ac:dyDescent="0.25">
      <c r="A9" s="4" t="s">
        <v>211</v>
      </c>
      <c r="B9" s="4" t="s">
        <v>168</v>
      </c>
      <c r="C9" s="4" t="s">
        <v>326</v>
      </c>
      <c r="D9" s="4">
        <v>28.19</v>
      </c>
      <c r="E9" s="4">
        <v>24.5</v>
      </c>
      <c r="F9" s="4">
        <v>6.46</v>
      </c>
      <c r="G9" s="4">
        <v>5.9</v>
      </c>
      <c r="H9" s="4">
        <v>1.1506122448979592</v>
      </c>
      <c r="I9" s="4" t="s">
        <v>196</v>
      </c>
      <c r="J9" s="4">
        <v>18</v>
      </c>
      <c r="K9" s="4">
        <v>4.2</v>
      </c>
      <c r="L9" s="4">
        <v>112</v>
      </c>
      <c r="M9" s="4">
        <v>77</v>
      </c>
      <c r="N9" s="4" t="s">
        <v>191</v>
      </c>
    </row>
    <row r="10" spans="1:14" x14ac:dyDescent="0.25">
      <c r="A10" s="4" t="s">
        <v>325</v>
      </c>
      <c r="B10" s="4" t="s">
        <v>168</v>
      </c>
      <c r="C10" s="4" t="s">
        <v>326</v>
      </c>
      <c r="D10" s="4">
        <v>29.73</v>
      </c>
      <c r="E10" s="4">
        <v>20.309999999999999</v>
      </c>
      <c r="F10" s="4">
        <v>7.67</v>
      </c>
      <c r="G10" s="4">
        <v>5</v>
      </c>
      <c r="H10" s="4">
        <v>1.4638109305760709</v>
      </c>
      <c r="I10" s="4" t="s">
        <v>196</v>
      </c>
      <c r="J10" s="4">
        <v>16.87</v>
      </c>
      <c r="K10" s="4">
        <v>6.22</v>
      </c>
      <c r="L10" s="4">
        <v>122</v>
      </c>
      <c r="M10" s="4">
        <v>64</v>
      </c>
      <c r="N10" s="9">
        <v>0</v>
      </c>
    </row>
    <row r="11" spans="1:14" x14ac:dyDescent="0.25">
      <c r="A11" s="4" t="s">
        <v>212</v>
      </c>
      <c r="B11" s="4" t="s">
        <v>168</v>
      </c>
      <c r="C11" s="4" t="s">
        <v>326</v>
      </c>
      <c r="D11" s="4">
        <v>45.06</v>
      </c>
      <c r="E11" s="4">
        <v>29.71</v>
      </c>
      <c r="F11" s="4">
        <v>9.68</v>
      </c>
      <c r="G11" s="4">
        <v>13.8</v>
      </c>
      <c r="H11" s="4">
        <v>1.5166610568832044</v>
      </c>
      <c r="I11" s="4" t="s">
        <v>196</v>
      </c>
      <c r="J11" s="4">
        <v>12.6</v>
      </c>
      <c r="K11" s="4">
        <v>5.52</v>
      </c>
      <c r="L11" s="4">
        <v>118</v>
      </c>
      <c r="M11" s="4">
        <v>75</v>
      </c>
      <c r="N11" s="4" t="s">
        <v>191</v>
      </c>
    </row>
    <row r="12" spans="1:14" x14ac:dyDescent="0.25">
      <c r="A12" s="4" t="s">
        <v>213</v>
      </c>
      <c r="B12" s="4" t="s">
        <v>168</v>
      </c>
      <c r="C12" s="4" t="s">
        <v>326</v>
      </c>
      <c r="D12" s="4">
        <v>28.78</v>
      </c>
      <c r="E12" s="4">
        <v>20.07</v>
      </c>
      <c r="F12" s="4">
        <v>5.59</v>
      </c>
      <c r="G12" s="4">
        <v>3.2</v>
      </c>
      <c r="H12" s="4">
        <v>1.4339810662680619</v>
      </c>
      <c r="I12" s="4" t="s">
        <v>196</v>
      </c>
      <c r="J12" s="4">
        <v>19.36</v>
      </c>
      <c r="K12" s="4">
        <v>4.04</v>
      </c>
      <c r="L12" s="4">
        <v>120</v>
      </c>
      <c r="M12" s="4">
        <v>62</v>
      </c>
      <c r="N12" s="9">
        <v>0</v>
      </c>
    </row>
    <row r="13" spans="1:14" x14ac:dyDescent="0.25">
      <c r="A13" s="4" t="s">
        <v>214</v>
      </c>
      <c r="B13" s="4" t="s">
        <v>168</v>
      </c>
      <c r="C13" s="4" t="s">
        <v>326</v>
      </c>
      <c r="D13" s="4">
        <v>42.52</v>
      </c>
      <c r="E13" s="4">
        <v>34.840000000000003</v>
      </c>
      <c r="F13" s="4">
        <v>7.94</v>
      </c>
      <c r="G13" s="4">
        <v>11.3</v>
      </c>
      <c r="H13" s="4">
        <v>1.2204362801377726</v>
      </c>
      <c r="I13" s="4" t="s">
        <v>196</v>
      </c>
      <c r="J13" s="4">
        <v>13.75</v>
      </c>
      <c r="K13" s="4">
        <v>3.7</v>
      </c>
      <c r="L13" s="4">
        <v>119</v>
      </c>
      <c r="M13" s="4">
        <v>87</v>
      </c>
      <c r="N13" s="4" t="s">
        <v>189</v>
      </c>
    </row>
    <row r="14" spans="1:14" x14ac:dyDescent="0.25">
      <c r="A14" s="4" t="s">
        <v>215</v>
      </c>
      <c r="B14" s="4" t="s">
        <v>168</v>
      </c>
      <c r="C14" s="4" t="s">
        <v>326</v>
      </c>
      <c r="D14" s="4">
        <v>31.19</v>
      </c>
      <c r="E14" s="4">
        <v>22.48</v>
      </c>
      <c r="F14" s="4">
        <v>6.45</v>
      </c>
      <c r="G14" s="4">
        <v>4.5</v>
      </c>
      <c r="H14" s="4">
        <v>1.387455516014235</v>
      </c>
      <c r="I14" s="4" t="s">
        <v>196</v>
      </c>
      <c r="J14" s="4">
        <v>12.88</v>
      </c>
      <c r="K14" s="4">
        <v>4.47</v>
      </c>
      <c r="L14" s="4">
        <v>115</v>
      </c>
      <c r="M14" s="4">
        <v>71</v>
      </c>
      <c r="N14" s="9">
        <v>0</v>
      </c>
    </row>
    <row r="15" spans="1:14" x14ac:dyDescent="0.25">
      <c r="A15" s="4" t="s">
        <v>216</v>
      </c>
      <c r="B15" s="4" t="s">
        <v>168</v>
      </c>
      <c r="C15" s="4" t="s">
        <v>326</v>
      </c>
      <c r="D15" s="4">
        <v>54</v>
      </c>
      <c r="E15" s="4">
        <v>39.020000000000003</v>
      </c>
      <c r="F15" s="4">
        <v>9.5</v>
      </c>
      <c r="G15" s="4">
        <v>21.5</v>
      </c>
      <c r="H15" s="4">
        <v>1.3839056893900563</v>
      </c>
      <c r="I15" s="4" t="s">
        <v>196</v>
      </c>
      <c r="J15" s="4">
        <v>7.1</v>
      </c>
      <c r="K15" s="4">
        <v>2.95</v>
      </c>
      <c r="L15" s="4">
        <v>121</v>
      </c>
      <c r="M15" s="4">
        <v>88</v>
      </c>
      <c r="N15" s="9">
        <v>0</v>
      </c>
    </row>
    <row r="16" spans="1:14" x14ac:dyDescent="0.25">
      <c r="A16" s="4" t="s">
        <v>217</v>
      </c>
      <c r="B16" s="4" t="s">
        <v>168</v>
      </c>
      <c r="C16" s="4" t="s">
        <v>326</v>
      </c>
      <c r="D16" s="4">
        <v>53.7</v>
      </c>
      <c r="E16" s="4">
        <v>41.63</v>
      </c>
      <c r="F16" s="4">
        <v>15.95</v>
      </c>
      <c r="G16" s="4">
        <v>29.4</v>
      </c>
      <c r="H16" s="4">
        <v>1.2899351429257746</v>
      </c>
      <c r="I16" s="4" t="s">
        <v>196</v>
      </c>
      <c r="J16" s="4">
        <v>41.36</v>
      </c>
      <c r="K16" s="4">
        <v>21.64</v>
      </c>
      <c r="L16" s="4">
        <v>123</v>
      </c>
      <c r="M16" s="4">
        <v>58</v>
      </c>
      <c r="N16" s="9">
        <v>0</v>
      </c>
    </row>
    <row r="17" spans="1:14" x14ac:dyDescent="0.25">
      <c r="A17" s="4" t="s">
        <v>218</v>
      </c>
      <c r="B17" s="4" t="s">
        <v>168</v>
      </c>
      <c r="C17" s="4" t="s">
        <v>326</v>
      </c>
      <c r="D17" s="4">
        <v>49.95</v>
      </c>
      <c r="E17" s="4">
        <v>37.14</v>
      </c>
      <c r="F17" s="4">
        <v>15.29</v>
      </c>
      <c r="G17" s="4">
        <v>30.5</v>
      </c>
      <c r="H17" s="4">
        <v>1.3449111470113086</v>
      </c>
      <c r="I17" s="4" t="s">
        <v>196</v>
      </c>
      <c r="J17" s="4">
        <v>43.88</v>
      </c>
      <c r="K17" s="4">
        <v>9.9700000000000006</v>
      </c>
      <c r="L17" s="4">
        <v>120</v>
      </c>
      <c r="M17" s="4">
        <v>81</v>
      </c>
      <c r="N17" s="9">
        <v>0</v>
      </c>
    </row>
    <row r="18" spans="1:14" x14ac:dyDescent="0.25">
      <c r="A18" s="4" t="s">
        <v>219</v>
      </c>
      <c r="B18" s="4" t="s">
        <v>168</v>
      </c>
      <c r="C18" s="4" t="s">
        <v>326</v>
      </c>
      <c r="D18" s="4">
        <v>43.95</v>
      </c>
      <c r="E18" s="4">
        <v>18.739999999999998</v>
      </c>
      <c r="F18" s="4">
        <v>6.64</v>
      </c>
      <c r="G18" s="4">
        <v>5.2</v>
      </c>
      <c r="H18" s="4">
        <v>2.3452508004268946</v>
      </c>
      <c r="I18" s="4" t="s">
        <v>196</v>
      </c>
      <c r="J18" s="4">
        <v>11.8</v>
      </c>
      <c r="K18" s="4">
        <v>1.2</v>
      </c>
      <c r="L18" s="4">
        <v>118</v>
      </c>
      <c r="M18" s="4">
        <v>63</v>
      </c>
      <c r="N18" s="9">
        <v>0</v>
      </c>
    </row>
    <row r="19" spans="1:14" x14ac:dyDescent="0.25">
      <c r="A19" s="4" t="s">
        <v>220</v>
      </c>
      <c r="B19" s="4" t="s">
        <v>168</v>
      </c>
      <c r="C19" s="4" t="s">
        <v>326</v>
      </c>
      <c r="D19" s="4">
        <v>51.05</v>
      </c>
      <c r="E19" s="4">
        <v>37.17</v>
      </c>
      <c r="F19" s="4">
        <v>9.0299999999999994</v>
      </c>
      <c r="G19" s="4">
        <v>21.7</v>
      </c>
      <c r="H19" s="4">
        <v>1.3734194242668818</v>
      </c>
      <c r="I19" s="4" t="s">
        <v>264</v>
      </c>
      <c r="M19" s="4">
        <v>70</v>
      </c>
      <c r="N19" s="4" t="s">
        <v>191</v>
      </c>
    </row>
    <row r="20" spans="1:14" x14ac:dyDescent="0.25">
      <c r="A20" s="4" t="s">
        <v>221</v>
      </c>
      <c r="B20" s="4" t="s">
        <v>168</v>
      </c>
      <c r="C20" s="4" t="s">
        <v>326</v>
      </c>
      <c r="D20" s="4">
        <v>47.35</v>
      </c>
      <c r="E20" s="4">
        <v>36.520000000000003</v>
      </c>
      <c r="F20" s="4">
        <v>15.76</v>
      </c>
      <c r="G20" s="4">
        <v>22.5</v>
      </c>
      <c r="H20" s="4">
        <v>1.2965498357064622</v>
      </c>
      <c r="I20" s="4" t="s">
        <v>196</v>
      </c>
      <c r="J20" s="4">
        <v>27.42</v>
      </c>
      <c r="K20" s="4">
        <v>11.1</v>
      </c>
      <c r="L20" s="4">
        <v>120</v>
      </c>
      <c r="M20" s="4">
        <v>65</v>
      </c>
      <c r="N20" s="4" t="s">
        <v>191</v>
      </c>
    </row>
    <row r="21" spans="1:14" x14ac:dyDescent="0.25">
      <c r="A21" s="4" t="s">
        <v>222</v>
      </c>
      <c r="B21" s="4" t="s">
        <v>168</v>
      </c>
      <c r="C21" s="4" t="s">
        <v>326</v>
      </c>
      <c r="D21" s="4">
        <v>72.52</v>
      </c>
      <c r="E21" s="4">
        <v>54.28</v>
      </c>
      <c r="F21" s="4">
        <v>20.13</v>
      </c>
      <c r="G21" s="4">
        <v>94.9</v>
      </c>
      <c r="H21" s="4">
        <v>1.3360353721444362</v>
      </c>
      <c r="I21" s="4" t="s">
        <v>196</v>
      </c>
      <c r="J21" s="4">
        <v>58.88</v>
      </c>
      <c r="K21" s="4">
        <v>14.85</v>
      </c>
      <c r="L21" s="4">
        <v>114</v>
      </c>
      <c r="M21" s="4">
        <v>72</v>
      </c>
      <c r="N21" s="9">
        <v>0</v>
      </c>
    </row>
    <row r="22" spans="1:14" x14ac:dyDescent="0.25">
      <c r="A22" s="4" t="s">
        <v>223</v>
      </c>
      <c r="B22" s="4" t="s">
        <v>168</v>
      </c>
      <c r="C22" s="4" t="s">
        <v>326</v>
      </c>
      <c r="D22" s="4">
        <v>40.14</v>
      </c>
      <c r="E22" s="4">
        <v>39.6</v>
      </c>
      <c r="F22" s="4">
        <v>13.6</v>
      </c>
      <c r="G22" s="4">
        <v>21.1</v>
      </c>
      <c r="H22" s="4">
        <v>1.0136363636363637</v>
      </c>
      <c r="I22" s="4" t="s">
        <v>196</v>
      </c>
      <c r="J22" s="4">
        <v>23.41</v>
      </c>
      <c r="K22" s="4">
        <v>7.56</v>
      </c>
      <c r="L22" s="4">
        <v>124</v>
      </c>
      <c r="M22" s="4">
        <v>71</v>
      </c>
      <c r="N22" s="4" t="s">
        <v>191</v>
      </c>
    </row>
    <row r="23" spans="1:14" x14ac:dyDescent="0.25">
      <c r="A23" s="4" t="s">
        <v>224</v>
      </c>
      <c r="B23" s="4" t="s">
        <v>168</v>
      </c>
      <c r="C23" s="4" t="s">
        <v>326</v>
      </c>
      <c r="D23" s="4">
        <v>36.369999999999997</v>
      </c>
      <c r="E23" s="4">
        <v>27.41</v>
      </c>
      <c r="F23" s="4">
        <v>11.18</v>
      </c>
      <c r="G23" s="4">
        <v>9.1</v>
      </c>
      <c r="H23" s="4">
        <v>1.326887997081357</v>
      </c>
      <c r="I23" s="4" t="s">
        <v>196</v>
      </c>
      <c r="J23" s="4">
        <v>6.34</v>
      </c>
      <c r="K23" s="4">
        <v>2.0499999999999998</v>
      </c>
      <c r="L23" s="4">
        <v>115</v>
      </c>
      <c r="M23" s="4">
        <v>81</v>
      </c>
      <c r="N23" s="9">
        <v>0</v>
      </c>
    </row>
    <row r="24" spans="1:14" x14ac:dyDescent="0.25">
      <c r="A24" s="4" t="s">
        <v>225</v>
      </c>
      <c r="B24" s="4" t="s">
        <v>168</v>
      </c>
      <c r="C24" s="4" t="s">
        <v>326</v>
      </c>
      <c r="D24" s="4">
        <v>21.08</v>
      </c>
      <c r="E24" s="4">
        <v>17.87</v>
      </c>
      <c r="F24" s="4">
        <v>4.83</v>
      </c>
      <c r="G24" s="4">
        <v>1.7</v>
      </c>
      <c r="H24" s="4">
        <v>1.1796306659205371</v>
      </c>
      <c r="I24" s="4" t="s">
        <v>196</v>
      </c>
      <c r="J24" s="4">
        <v>6.86</v>
      </c>
      <c r="K24" s="4">
        <v>2.4700000000000002</v>
      </c>
      <c r="L24" s="4">
        <v>118</v>
      </c>
      <c r="M24" s="4">
        <v>77</v>
      </c>
      <c r="N24" s="9">
        <v>0</v>
      </c>
    </row>
    <row r="25" spans="1:14" x14ac:dyDescent="0.25">
      <c r="A25" s="4" t="s">
        <v>226</v>
      </c>
      <c r="B25" s="4" t="s">
        <v>168</v>
      </c>
      <c r="C25" s="4" t="s">
        <v>326</v>
      </c>
      <c r="D25" s="4">
        <v>34.61</v>
      </c>
      <c r="E25" s="4">
        <v>32.26</v>
      </c>
      <c r="F25" s="4">
        <v>9.32</v>
      </c>
      <c r="G25" s="4">
        <v>11.4</v>
      </c>
      <c r="H25" s="4">
        <v>1.0728456292622444</v>
      </c>
      <c r="I25" s="4" t="s">
        <v>196</v>
      </c>
      <c r="J25" s="4">
        <v>30.9</v>
      </c>
      <c r="K25" s="4">
        <v>7.53</v>
      </c>
      <c r="L25" s="4">
        <v>111</v>
      </c>
      <c r="M25" s="4">
        <v>91</v>
      </c>
      <c r="N25" s="9">
        <v>0</v>
      </c>
    </row>
    <row r="26" spans="1:14" x14ac:dyDescent="0.25">
      <c r="A26" s="4" t="s">
        <v>227</v>
      </c>
      <c r="B26" s="4" t="s">
        <v>168</v>
      </c>
      <c r="C26" s="4" t="s">
        <v>326</v>
      </c>
      <c r="D26" s="4">
        <v>35.43</v>
      </c>
      <c r="E26" s="4">
        <v>23.05</v>
      </c>
      <c r="F26" s="4">
        <v>7.82</v>
      </c>
      <c r="G26" s="4">
        <v>7.4</v>
      </c>
      <c r="H26" s="4">
        <v>1.5370932754880693</v>
      </c>
      <c r="I26" s="4" t="s">
        <v>196</v>
      </c>
      <c r="J26" s="4">
        <v>18.55</v>
      </c>
      <c r="K26" s="4">
        <v>3.79</v>
      </c>
      <c r="L26" s="4">
        <v>112</v>
      </c>
      <c r="M26" s="4">
        <v>77</v>
      </c>
      <c r="N26" s="9">
        <v>0</v>
      </c>
    </row>
    <row r="27" spans="1:14" x14ac:dyDescent="0.25">
      <c r="A27" s="4" t="s">
        <v>228</v>
      </c>
      <c r="B27" s="4" t="s">
        <v>168</v>
      </c>
      <c r="C27" s="4" t="s">
        <v>326</v>
      </c>
      <c r="D27" s="4">
        <v>41.33</v>
      </c>
      <c r="E27" s="4">
        <v>23</v>
      </c>
      <c r="F27" s="4">
        <v>9.3000000000000007</v>
      </c>
      <c r="G27" s="4">
        <v>9.1999999999999993</v>
      </c>
      <c r="H27" s="4">
        <v>1.7969565217391303</v>
      </c>
      <c r="I27" s="4" t="s">
        <v>196</v>
      </c>
      <c r="J27" s="4">
        <v>15.78</v>
      </c>
      <c r="K27" s="4">
        <v>3.15</v>
      </c>
      <c r="L27" s="4">
        <v>122</v>
      </c>
      <c r="M27" s="4">
        <v>72</v>
      </c>
      <c r="N27" s="9">
        <v>0</v>
      </c>
    </row>
    <row r="28" spans="1:14" x14ac:dyDescent="0.25">
      <c r="A28" s="4" t="s">
        <v>229</v>
      </c>
      <c r="B28" s="4" t="s">
        <v>168</v>
      </c>
      <c r="C28" s="4" t="s">
        <v>326</v>
      </c>
      <c r="D28" s="4">
        <v>29.5</v>
      </c>
      <c r="E28" s="4">
        <v>25</v>
      </c>
      <c r="F28" s="4">
        <v>10.56</v>
      </c>
      <c r="G28" s="4">
        <v>7.5</v>
      </c>
      <c r="H28" s="4">
        <v>1.18</v>
      </c>
      <c r="I28" s="4" t="s">
        <v>196</v>
      </c>
      <c r="J28" s="4">
        <v>6.68</v>
      </c>
      <c r="K28" s="4">
        <v>2.58</v>
      </c>
      <c r="L28" s="4">
        <v>119</v>
      </c>
      <c r="M28" s="4">
        <v>78</v>
      </c>
      <c r="N28" s="9">
        <v>0</v>
      </c>
    </row>
    <row r="29" spans="1:14" x14ac:dyDescent="0.25">
      <c r="A29" s="4" t="s">
        <v>230</v>
      </c>
      <c r="B29" s="4" t="s">
        <v>168</v>
      </c>
      <c r="C29" s="4" t="s">
        <v>326</v>
      </c>
      <c r="D29" s="4">
        <v>26.75</v>
      </c>
      <c r="E29" s="4">
        <v>23</v>
      </c>
      <c r="F29" s="4">
        <v>6.2</v>
      </c>
      <c r="G29" s="4">
        <v>3.5</v>
      </c>
      <c r="H29" s="4">
        <v>1.1630434782608696</v>
      </c>
      <c r="I29" s="4" t="s">
        <v>196</v>
      </c>
      <c r="J29" s="4">
        <v>7.12</v>
      </c>
      <c r="K29" s="4">
        <v>1.63</v>
      </c>
      <c r="L29" s="4">
        <v>115</v>
      </c>
      <c r="M29" s="4">
        <v>70</v>
      </c>
      <c r="N29" s="4" t="s">
        <v>189</v>
      </c>
    </row>
    <row r="30" spans="1:14" x14ac:dyDescent="0.25">
      <c r="A30" s="4" t="s">
        <v>231</v>
      </c>
      <c r="B30" s="4" t="s">
        <v>168</v>
      </c>
      <c r="C30" s="4" t="s">
        <v>326</v>
      </c>
      <c r="D30" s="4">
        <v>42.11</v>
      </c>
      <c r="E30" s="4">
        <v>35.01</v>
      </c>
      <c r="F30" s="4">
        <v>12.7</v>
      </c>
      <c r="G30" s="4">
        <v>15.4</v>
      </c>
      <c r="H30" s="4">
        <v>1.2027992002285062</v>
      </c>
      <c r="I30" s="4" t="s">
        <v>196</v>
      </c>
      <c r="J30" s="4">
        <v>17.55</v>
      </c>
      <c r="K30" s="4">
        <v>5.37</v>
      </c>
      <c r="L30" s="4">
        <v>131</v>
      </c>
      <c r="M30" s="4">
        <v>56</v>
      </c>
      <c r="N30" s="4" t="s">
        <v>191</v>
      </c>
    </row>
    <row r="31" spans="1:14" x14ac:dyDescent="0.25">
      <c r="A31" s="4" t="s">
        <v>232</v>
      </c>
      <c r="B31" s="5" t="s">
        <v>265</v>
      </c>
      <c r="C31" s="4" t="s">
        <v>326</v>
      </c>
      <c r="D31" s="4">
        <v>23.42</v>
      </c>
      <c r="E31" s="4">
        <v>19.170000000000002</v>
      </c>
      <c r="F31" s="4">
        <v>5.26</v>
      </c>
      <c r="G31" s="4">
        <v>2.6</v>
      </c>
      <c r="H31" s="4">
        <v>1.2217005738132498</v>
      </c>
      <c r="I31" s="4" t="s">
        <v>196</v>
      </c>
      <c r="J31" s="4">
        <v>7</v>
      </c>
      <c r="K31" s="4">
        <v>2.54</v>
      </c>
      <c r="L31" s="4">
        <v>112</v>
      </c>
      <c r="M31" s="4">
        <v>76</v>
      </c>
      <c r="N31" s="4" t="s">
        <v>189</v>
      </c>
    </row>
    <row r="32" spans="1:14" x14ac:dyDescent="0.25">
      <c r="A32" s="4" t="s">
        <v>233</v>
      </c>
      <c r="B32" s="4" t="s">
        <v>168</v>
      </c>
      <c r="C32" s="4" t="s">
        <v>326</v>
      </c>
      <c r="D32" s="4">
        <v>40.450000000000003</v>
      </c>
      <c r="E32" s="4">
        <v>24.53</v>
      </c>
      <c r="F32" s="4">
        <v>6.76</v>
      </c>
      <c r="G32" s="4">
        <v>5.7</v>
      </c>
      <c r="H32" s="4">
        <v>1.6490012229922544</v>
      </c>
      <c r="I32" s="4" t="s">
        <v>196</v>
      </c>
      <c r="J32" s="4">
        <v>5.9</v>
      </c>
      <c r="K32" s="4">
        <v>2.33</v>
      </c>
      <c r="L32" s="4">
        <v>125</v>
      </c>
      <c r="M32" s="4">
        <v>58</v>
      </c>
      <c r="N32" s="9">
        <v>0</v>
      </c>
    </row>
    <row r="33" spans="1:14" x14ac:dyDescent="0.25">
      <c r="A33" s="4" t="s">
        <v>234</v>
      </c>
      <c r="B33" s="4" t="s">
        <v>168</v>
      </c>
      <c r="C33" s="4" t="s">
        <v>326</v>
      </c>
      <c r="D33" s="4">
        <v>47.84</v>
      </c>
      <c r="E33" s="4">
        <v>29.02</v>
      </c>
      <c r="F33" s="4">
        <v>10.56</v>
      </c>
      <c r="G33" s="4">
        <v>11.2</v>
      </c>
      <c r="H33" s="4">
        <v>1.6485182632667128</v>
      </c>
      <c r="I33" s="4" t="s">
        <v>196</v>
      </c>
      <c r="J33" s="4">
        <v>16.11</v>
      </c>
      <c r="K33" s="4">
        <v>4.32</v>
      </c>
      <c r="L33" s="4">
        <v>130</v>
      </c>
      <c r="M33" s="4">
        <v>53</v>
      </c>
      <c r="N33" s="9">
        <v>0</v>
      </c>
    </row>
    <row r="34" spans="1:14" x14ac:dyDescent="0.25">
      <c r="A34" s="4" t="s">
        <v>235</v>
      </c>
      <c r="B34" s="4" t="s">
        <v>168</v>
      </c>
      <c r="C34" s="4" t="s">
        <v>326</v>
      </c>
      <c r="D34" s="4">
        <v>23.85</v>
      </c>
      <c r="E34" s="4">
        <v>13.1</v>
      </c>
      <c r="F34" s="4">
        <v>3.48</v>
      </c>
      <c r="G34" s="4">
        <v>1.2</v>
      </c>
      <c r="H34" s="4">
        <v>1.8206106870229009</v>
      </c>
      <c r="I34" s="4" t="s">
        <v>196</v>
      </c>
      <c r="J34" s="4">
        <v>6.79</v>
      </c>
      <c r="K34" s="4">
        <v>2.29</v>
      </c>
      <c r="L34" s="4">
        <v>117</v>
      </c>
      <c r="M34" s="4">
        <v>79</v>
      </c>
      <c r="N34" s="9">
        <v>0</v>
      </c>
    </row>
    <row r="35" spans="1:14" x14ac:dyDescent="0.25">
      <c r="A35" s="4" t="s">
        <v>236</v>
      </c>
      <c r="B35" s="4" t="s">
        <v>168</v>
      </c>
      <c r="C35" s="4" t="s">
        <v>326</v>
      </c>
      <c r="D35" s="4">
        <v>25.83</v>
      </c>
      <c r="E35" s="4">
        <v>20.38</v>
      </c>
      <c r="F35" s="4">
        <v>6.39</v>
      </c>
      <c r="G35" s="4">
        <v>3.3</v>
      </c>
      <c r="H35" s="4">
        <v>1.2674190382728165</v>
      </c>
      <c r="I35" s="4" t="s">
        <v>196</v>
      </c>
      <c r="J35" s="4">
        <v>8.59</v>
      </c>
      <c r="K35" s="4">
        <v>2.75</v>
      </c>
      <c r="L35" s="4">
        <v>116</v>
      </c>
      <c r="M35" s="4">
        <v>80</v>
      </c>
      <c r="N35" s="9">
        <v>0</v>
      </c>
    </row>
    <row r="36" spans="1:14" x14ac:dyDescent="0.25">
      <c r="A36" s="4" t="s">
        <v>237</v>
      </c>
      <c r="B36" s="4" t="s">
        <v>168</v>
      </c>
      <c r="C36" s="4" t="s">
        <v>326</v>
      </c>
      <c r="D36" s="4">
        <v>30.06</v>
      </c>
      <c r="E36" s="4">
        <v>23.83</v>
      </c>
      <c r="F36" s="4">
        <v>13.72</v>
      </c>
      <c r="G36" s="4">
        <v>7.9</v>
      </c>
      <c r="H36" s="4">
        <v>1.2614351657574487</v>
      </c>
      <c r="I36" s="4" t="s">
        <v>196</v>
      </c>
      <c r="J36" s="4">
        <v>6.58</v>
      </c>
      <c r="K36" s="4">
        <v>2.9</v>
      </c>
      <c r="L36" s="4">
        <v>117</v>
      </c>
      <c r="M36" s="4">
        <v>82</v>
      </c>
      <c r="N36" s="9">
        <v>0</v>
      </c>
    </row>
    <row r="37" spans="1:14" x14ac:dyDescent="0.25">
      <c r="A37" s="4" t="s">
        <v>238</v>
      </c>
      <c r="B37" s="4" t="s">
        <v>168</v>
      </c>
      <c r="C37" s="4" t="s">
        <v>326</v>
      </c>
      <c r="D37" s="4">
        <v>45.1</v>
      </c>
      <c r="E37" s="4">
        <v>20.190000000000001</v>
      </c>
      <c r="F37" s="4">
        <v>10.74</v>
      </c>
      <c r="G37" s="4">
        <v>10.3</v>
      </c>
      <c r="H37" s="4">
        <v>2.2337790985636454</v>
      </c>
      <c r="I37" s="4" t="s">
        <v>196</v>
      </c>
      <c r="J37" s="4">
        <v>5.7</v>
      </c>
      <c r="K37" s="4">
        <v>2.98</v>
      </c>
      <c r="L37" s="4">
        <v>117</v>
      </c>
      <c r="M37" s="4">
        <v>85</v>
      </c>
      <c r="N37" s="9">
        <v>0</v>
      </c>
    </row>
    <row r="38" spans="1:14" x14ac:dyDescent="0.25">
      <c r="A38" s="4" t="s">
        <v>239</v>
      </c>
      <c r="B38" s="4" t="s">
        <v>168</v>
      </c>
      <c r="C38" s="4" t="s">
        <v>326</v>
      </c>
      <c r="D38" s="4">
        <v>41.1</v>
      </c>
      <c r="E38" s="4">
        <v>28.2</v>
      </c>
      <c r="F38" s="4">
        <v>10</v>
      </c>
      <c r="G38" s="4">
        <v>11</v>
      </c>
      <c r="H38" s="4">
        <v>1.4574468085106385</v>
      </c>
      <c r="I38" s="4" t="s">
        <v>196</v>
      </c>
      <c r="J38" s="4">
        <v>29.89</v>
      </c>
      <c r="K38" s="4">
        <v>7.03</v>
      </c>
      <c r="L38" s="4">
        <v>123</v>
      </c>
      <c r="M38" s="4">
        <v>60</v>
      </c>
      <c r="N38" s="9">
        <v>0</v>
      </c>
    </row>
    <row r="39" spans="1:14" x14ac:dyDescent="0.25">
      <c r="A39" s="4" t="s">
        <v>240</v>
      </c>
      <c r="B39" s="4" t="s">
        <v>168</v>
      </c>
      <c r="C39" s="4" t="s">
        <v>326</v>
      </c>
      <c r="D39" s="4">
        <v>31.55</v>
      </c>
      <c r="E39" s="4">
        <v>26.13</v>
      </c>
      <c r="F39" s="4">
        <v>9.07</v>
      </c>
      <c r="G39" s="4">
        <v>8.8000000000000007</v>
      </c>
      <c r="H39" s="4">
        <v>1.2074244163796404</v>
      </c>
      <c r="I39" s="4" t="s">
        <v>196</v>
      </c>
      <c r="J39" s="4">
        <v>4.45</v>
      </c>
      <c r="K39" s="4">
        <v>2.2599999999999998</v>
      </c>
      <c r="L39" s="4">
        <v>118</v>
      </c>
      <c r="M39" s="4">
        <v>66</v>
      </c>
      <c r="N39" s="9">
        <v>0</v>
      </c>
    </row>
    <row r="40" spans="1:14" x14ac:dyDescent="0.25">
      <c r="A40" s="4" t="s">
        <v>241</v>
      </c>
      <c r="B40" s="4" t="s">
        <v>168</v>
      </c>
      <c r="C40" s="4" t="s">
        <v>326</v>
      </c>
      <c r="D40" s="4">
        <v>33.22</v>
      </c>
      <c r="E40" s="4">
        <v>24.62</v>
      </c>
      <c r="F40" s="4">
        <v>9.92</v>
      </c>
      <c r="G40" s="4">
        <v>6.8</v>
      </c>
      <c r="H40" s="4">
        <v>1.3493095044679122</v>
      </c>
      <c r="I40" s="4" t="s">
        <v>196</v>
      </c>
      <c r="J40" s="4">
        <v>14.54</v>
      </c>
      <c r="K40" s="4">
        <v>4.4000000000000004</v>
      </c>
      <c r="L40" s="4">
        <v>111</v>
      </c>
      <c r="M40" s="4">
        <v>72</v>
      </c>
      <c r="N40" s="9">
        <v>0</v>
      </c>
    </row>
    <row r="41" spans="1:14" x14ac:dyDescent="0.25">
      <c r="A41" s="4" t="s">
        <v>242</v>
      </c>
      <c r="B41" s="4" t="s">
        <v>168</v>
      </c>
      <c r="C41" s="4" t="s">
        <v>326</v>
      </c>
      <c r="D41" s="4">
        <v>20.85</v>
      </c>
      <c r="E41" s="4">
        <v>17.440000000000001</v>
      </c>
      <c r="F41" s="4">
        <v>6.1</v>
      </c>
      <c r="G41" s="4">
        <v>1.9</v>
      </c>
      <c r="H41" s="4">
        <v>1.1955275229357798</v>
      </c>
      <c r="I41" s="4" t="s">
        <v>196</v>
      </c>
      <c r="J41" s="4">
        <v>14</v>
      </c>
      <c r="K41" s="4">
        <v>4.1500000000000004</v>
      </c>
      <c r="L41" s="4">
        <v>123</v>
      </c>
      <c r="M41" s="4">
        <v>62</v>
      </c>
      <c r="N41" s="9">
        <v>0</v>
      </c>
    </row>
    <row r="42" spans="1:14" x14ac:dyDescent="0.25">
      <c r="A42" s="4" t="s">
        <v>243</v>
      </c>
      <c r="B42" s="4" t="s">
        <v>168</v>
      </c>
      <c r="C42" s="4" t="s">
        <v>326</v>
      </c>
      <c r="D42" s="4">
        <v>27.6</v>
      </c>
      <c r="E42" s="4">
        <v>21.78</v>
      </c>
      <c r="F42" s="4">
        <v>6.82</v>
      </c>
      <c r="G42" s="4">
        <v>4.0999999999999996</v>
      </c>
      <c r="H42" s="4">
        <v>1.2672176308539944</v>
      </c>
      <c r="I42" s="4" t="s">
        <v>196</v>
      </c>
      <c r="J42" s="4">
        <v>8.14</v>
      </c>
      <c r="K42" s="4">
        <v>3.17</v>
      </c>
      <c r="L42" s="4">
        <v>123</v>
      </c>
      <c r="M42" s="4">
        <v>68</v>
      </c>
      <c r="N42" s="9">
        <v>0</v>
      </c>
    </row>
    <row r="43" spans="1:14" x14ac:dyDescent="0.25">
      <c r="A43" s="4" t="s">
        <v>244</v>
      </c>
      <c r="B43" s="4" t="s">
        <v>168</v>
      </c>
      <c r="C43" s="4" t="s">
        <v>326</v>
      </c>
      <c r="D43" s="4">
        <v>35.53</v>
      </c>
      <c r="E43" s="4">
        <v>32.94</v>
      </c>
      <c r="F43" s="4">
        <v>9.2100000000000009</v>
      </c>
      <c r="G43" s="4">
        <v>10.6</v>
      </c>
      <c r="H43" s="4">
        <v>1.078627808136005</v>
      </c>
      <c r="I43" s="4" t="s">
        <v>196</v>
      </c>
      <c r="J43" s="4">
        <v>16.38</v>
      </c>
      <c r="K43" s="4">
        <v>4.82</v>
      </c>
      <c r="L43" s="4">
        <v>121</v>
      </c>
      <c r="M43" s="4">
        <v>62</v>
      </c>
      <c r="N43" s="9">
        <v>0</v>
      </c>
    </row>
    <row r="44" spans="1:14" x14ac:dyDescent="0.25">
      <c r="A44" s="4" t="s">
        <v>245</v>
      </c>
      <c r="B44" s="4" t="s">
        <v>168</v>
      </c>
      <c r="C44" s="4" t="s">
        <v>326</v>
      </c>
      <c r="D44" s="4">
        <v>40.06</v>
      </c>
      <c r="E44" s="4">
        <v>28.91</v>
      </c>
      <c r="F44" s="4">
        <v>7.1</v>
      </c>
      <c r="G44" s="4">
        <v>9</v>
      </c>
      <c r="H44" s="4">
        <v>1.3856796956070565</v>
      </c>
      <c r="I44" s="4" t="s">
        <v>196</v>
      </c>
      <c r="J44" s="4">
        <v>5.44</v>
      </c>
      <c r="K44" s="4">
        <v>2.1800000000000002</v>
      </c>
      <c r="L44" s="4">
        <v>124</v>
      </c>
      <c r="M44" s="4">
        <v>71</v>
      </c>
      <c r="N44" s="9">
        <v>0</v>
      </c>
    </row>
    <row r="45" spans="1:14" x14ac:dyDescent="0.25">
      <c r="A45" s="4" t="s">
        <v>246</v>
      </c>
      <c r="B45" s="4" t="s">
        <v>168</v>
      </c>
      <c r="C45" s="4" t="s">
        <v>326</v>
      </c>
      <c r="D45" s="4">
        <v>44.75</v>
      </c>
      <c r="E45" s="4">
        <v>28</v>
      </c>
      <c r="F45" s="4">
        <v>12.78</v>
      </c>
      <c r="G45" s="4">
        <v>16.8</v>
      </c>
      <c r="H45" s="4">
        <v>1.5982142857142858</v>
      </c>
      <c r="I45" s="4" t="s">
        <v>196</v>
      </c>
      <c r="J45" s="4">
        <v>15.68</v>
      </c>
      <c r="K45" s="4">
        <v>7.52</v>
      </c>
      <c r="L45" s="4">
        <v>114</v>
      </c>
      <c r="M45" s="4">
        <v>76</v>
      </c>
      <c r="N45" s="9">
        <v>0</v>
      </c>
    </row>
    <row r="46" spans="1:14" x14ac:dyDescent="0.25">
      <c r="A46" s="4" t="s">
        <v>247</v>
      </c>
      <c r="B46" s="4" t="s">
        <v>168</v>
      </c>
      <c r="C46" s="4" t="s">
        <v>326</v>
      </c>
      <c r="D46" s="4">
        <v>28.6</v>
      </c>
      <c r="E46" s="4">
        <v>27.65</v>
      </c>
      <c r="F46" s="4">
        <v>9.6999999999999993</v>
      </c>
      <c r="G46" s="4">
        <v>7.1</v>
      </c>
      <c r="H46" s="4">
        <v>1.034358047016275</v>
      </c>
      <c r="I46" s="4" t="s">
        <v>196</v>
      </c>
      <c r="J46" s="4">
        <v>9.6199999999999992</v>
      </c>
      <c r="K46" s="4">
        <v>5.75</v>
      </c>
      <c r="L46" s="4">
        <v>115</v>
      </c>
      <c r="M46" s="4">
        <v>77</v>
      </c>
      <c r="N46" s="4" t="s">
        <v>192</v>
      </c>
    </row>
    <row r="47" spans="1:14" x14ac:dyDescent="0.25">
      <c r="A47" s="4" t="s">
        <v>248</v>
      </c>
      <c r="B47" s="4" t="s">
        <v>168</v>
      </c>
      <c r="C47" s="4" t="s">
        <v>326</v>
      </c>
      <c r="D47" s="4">
        <v>44.32</v>
      </c>
      <c r="E47" s="4">
        <v>34.15</v>
      </c>
      <c r="F47" s="4">
        <v>7</v>
      </c>
      <c r="G47" s="4">
        <v>12.4</v>
      </c>
      <c r="H47" s="4">
        <v>1.2978038067349928</v>
      </c>
      <c r="I47" s="4" t="s">
        <v>264</v>
      </c>
      <c r="N47" s="9">
        <v>0</v>
      </c>
    </row>
    <row r="48" spans="1:14" x14ac:dyDescent="0.25">
      <c r="A48" s="4" t="s">
        <v>249</v>
      </c>
      <c r="B48" s="4" t="s">
        <v>168</v>
      </c>
      <c r="C48" s="4" t="s">
        <v>326</v>
      </c>
      <c r="D48" s="4">
        <v>60.27</v>
      </c>
      <c r="E48" s="4">
        <v>34.33</v>
      </c>
      <c r="F48" s="4">
        <v>10.59</v>
      </c>
      <c r="G48" s="4">
        <v>21.3</v>
      </c>
      <c r="H48" s="4">
        <v>1.7556073405184971</v>
      </c>
      <c r="I48" s="4" t="s">
        <v>196</v>
      </c>
      <c r="J48" s="4">
        <v>37.270000000000003</v>
      </c>
      <c r="K48" s="4">
        <v>11.53</v>
      </c>
      <c r="L48" s="4">
        <v>138</v>
      </c>
      <c r="M48" s="4">
        <v>53</v>
      </c>
      <c r="N48" s="9">
        <v>0</v>
      </c>
    </row>
    <row r="49" spans="1:14" x14ac:dyDescent="0.25">
      <c r="A49" s="4" t="s">
        <v>250</v>
      </c>
      <c r="B49" s="4" t="s">
        <v>168</v>
      </c>
      <c r="C49" s="4" t="s">
        <v>326</v>
      </c>
      <c r="D49" s="4">
        <v>42.27</v>
      </c>
      <c r="E49" s="4">
        <v>26.1</v>
      </c>
      <c r="F49" s="4">
        <v>10.44</v>
      </c>
      <c r="G49" s="4">
        <v>12.8</v>
      </c>
      <c r="H49" s="4">
        <v>1.6195402298850574</v>
      </c>
      <c r="I49" s="4" t="s">
        <v>196</v>
      </c>
      <c r="J49" s="4">
        <v>23.7</v>
      </c>
      <c r="K49" s="4">
        <v>8.24</v>
      </c>
      <c r="L49" s="4">
        <v>109</v>
      </c>
      <c r="M49" s="4">
        <v>80</v>
      </c>
      <c r="N49" s="9">
        <v>0</v>
      </c>
    </row>
    <row r="50" spans="1:14" x14ac:dyDescent="0.25">
      <c r="A50" s="4" t="s">
        <v>251</v>
      </c>
      <c r="B50" s="4" t="s">
        <v>168</v>
      </c>
      <c r="C50" s="4" t="s">
        <v>326</v>
      </c>
      <c r="D50" s="4">
        <v>35.619999999999997</v>
      </c>
      <c r="E50" s="4">
        <v>32.880000000000003</v>
      </c>
      <c r="F50" s="4">
        <v>11.88</v>
      </c>
      <c r="G50" s="4">
        <v>10.6</v>
      </c>
      <c r="H50" s="4">
        <v>1.0833333333333333</v>
      </c>
      <c r="I50" s="4" t="s">
        <v>196</v>
      </c>
      <c r="J50" s="4">
        <v>11.59</v>
      </c>
      <c r="K50" s="4">
        <v>4.4800000000000004</v>
      </c>
      <c r="L50" s="4">
        <v>111</v>
      </c>
      <c r="M50" s="4">
        <v>87</v>
      </c>
      <c r="N50" s="4" t="s">
        <v>189</v>
      </c>
    </row>
    <row r="51" spans="1:14" x14ac:dyDescent="0.25">
      <c r="A51" s="4" t="s">
        <v>252</v>
      </c>
      <c r="B51" s="4" t="s">
        <v>168</v>
      </c>
      <c r="C51" s="4" t="s">
        <v>326</v>
      </c>
      <c r="D51" s="4">
        <v>32.99</v>
      </c>
      <c r="E51" s="4">
        <v>31.78</v>
      </c>
      <c r="F51" s="4">
        <v>13.36</v>
      </c>
      <c r="G51" s="4">
        <v>12.7</v>
      </c>
      <c r="H51" s="4">
        <v>1.038074260541221</v>
      </c>
      <c r="I51" s="4" t="s">
        <v>196</v>
      </c>
      <c r="J51" s="4">
        <v>15.4</v>
      </c>
      <c r="K51" s="4">
        <v>5.42</v>
      </c>
      <c r="L51" s="4">
        <v>107</v>
      </c>
      <c r="M51" s="4">
        <v>92</v>
      </c>
      <c r="N51" s="9">
        <v>0</v>
      </c>
    </row>
    <row r="52" spans="1:14" x14ac:dyDescent="0.25">
      <c r="A52" s="4" t="s">
        <v>253</v>
      </c>
      <c r="B52" s="4" t="s">
        <v>168</v>
      </c>
      <c r="C52" s="4" t="s">
        <v>326</v>
      </c>
      <c r="D52" s="4">
        <v>37.159999999999997</v>
      </c>
      <c r="E52" s="4">
        <v>34.06</v>
      </c>
      <c r="F52" s="4">
        <v>10.68</v>
      </c>
      <c r="G52" s="4">
        <v>13.7</v>
      </c>
      <c r="H52" s="4">
        <v>1.0910158543746329</v>
      </c>
      <c r="I52" s="4" t="s">
        <v>196</v>
      </c>
      <c r="J52" s="4">
        <v>10.67</v>
      </c>
      <c r="K52" s="4">
        <v>4.32</v>
      </c>
      <c r="L52" s="4">
        <v>128</v>
      </c>
      <c r="M52" s="4">
        <v>64</v>
      </c>
      <c r="N52" s="4" t="s">
        <v>193</v>
      </c>
    </row>
    <row r="53" spans="1:14" x14ac:dyDescent="0.25">
      <c r="A53" s="4" t="s">
        <v>254</v>
      </c>
      <c r="B53" s="4" t="s">
        <v>168</v>
      </c>
      <c r="C53" s="4" t="s">
        <v>326</v>
      </c>
      <c r="D53" s="4">
        <v>47.13</v>
      </c>
      <c r="E53" s="4">
        <v>25.95</v>
      </c>
      <c r="F53" s="4">
        <v>8.3699999999999992</v>
      </c>
      <c r="G53" s="4">
        <v>11.8</v>
      </c>
      <c r="H53" s="4">
        <v>1.816184971098266</v>
      </c>
      <c r="I53" s="4" t="s">
        <v>196</v>
      </c>
      <c r="J53" s="4">
        <v>26.13</v>
      </c>
      <c r="K53" s="4">
        <v>7.39</v>
      </c>
      <c r="L53" s="4">
        <v>118</v>
      </c>
      <c r="M53" s="4">
        <v>69</v>
      </c>
      <c r="N53" s="9">
        <v>0</v>
      </c>
    </row>
    <row r="54" spans="1:14" x14ac:dyDescent="0.25">
      <c r="A54" s="4" t="s">
        <v>255</v>
      </c>
      <c r="B54" s="4" t="s">
        <v>168</v>
      </c>
      <c r="C54" s="4" t="s">
        <v>326</v>
      </c>
      <c r="D54" s="4">
        <v>27.58</v>
      </c>
      <c r="E54" s="4">
        <v>26.93</v>
      </c>
      <c r="F54" s="4">
        <v>8.34</v>
      </c>
      <c r="G54" s="4">
        <v>4.9000000000000004</v>
      </c>
      <c r="H54" s="4">
        <v>1.0241366505755662</v>
      </c>
      <c r="I54" s="4" t="s">
        <v>196</v>
      </c>
      <c r="J54" s="4">
        <v>14</v>
      </c>
      <c r="K54" s="4">
        <v>5.86</v>
      </c>
      <c r="L54" s="4">
        <v>116</v>
      </c>
      <c r="M54" s="4">
        <v>70</v>
      </c>
      <c r="N54" s="4" t="s">
        <v>189</v>
      </c>
    </row>
    <row r="55" spans="1:14" x14ac:dyDescent="0.25">
      <c r="A55" s="4" t="s">
        <v>256</v>
      </c>
      <c r="B55" s="4" t="s">
        <v>168</v>
      </c>
      <c r="C55" s="4" t="s">
        <v>326</v>
      </c>
      <c r="D55" s="4">
        <v>38.65</v>
      </c>
      <c r="E55" s="4">
        <v>32.75</v>
      </c>
      <c r="F55" s="4">
        <v>12.1</v>
      </c>
      <c r="G55" s="4">
        <v>12.6</v>
      </c>
      <c r="H55" s="4">
        <v>1.1801526717557251</v>
      </c>
      <c r="I55" s="4" t="s">
        <v>196</v>
      </c>
      <c r="J55" s="4">
        <v>24.85</v>
      </c>
      <c r="K55" s="4">
        <v>12.83</v>
      </c>
      <c r="L55" s="4">
        <v>123</v>
      </c>
      <c r="M55" s="4">
        <v>65</v>
      </c>
      <c r="N55" s="9">
        <v>0</v>
      </c>
    </row>
    <row r="56" spans="1:14" x14ac:dyDescent="0.25">
      <c r="A56" s="4" t="s">
        <v>257</v>
      </c>
      <c r="B56" s="4" t="s">
        <v>168</v>
      </c>
      <c r="C56" s="4" t="s">
        <v>326</v>
      </c>
      <c r="D56" s="4">
        <v>34.880000000000003</v>
      </c>
      <c r="E56" s="4">
        <v>20.78</v>
      </c>
      <c r="F56" s="4">
        <v>11.8</v>
      </c>
      <c r="G56" s="4">
        <v>8</v>
      </c>
      <c r="H56" s="4">
        <v>1.6785370548604428</v>
      </c>
      <c r="I56" s="4" t="s">
        <v>196</v>
      </c>
      <c r="J56" s="4">
        <v>20</v>
      </c>
      <c r="K56" s="4">
        <v>4.6900000000000004</v>
      </c>
      <c r="L56" s="4">
        <v>121</v>
      </c>
      <c r="M56" s="4">
        <v>70</v>
      </c>
      <c r="N56" s="9">
        <v>0</v>
      </c>
    </row>
    <row r="57" spans="1:14" x14ac:dyDescent="0.25">
      <c r="A57" s="4" t="s">
        <v>258</v>
      </c>
      <c r="B57" s="4" t="s">
        <v>168</v>
      </c>
      <c r="C57" s="4" t="s">
        <v>326</v>
      </c>
      <c r="D57" s="4">
        <v>34.770000000000003</v>
      </c>
      <c r="E57" s="4">
        <v>32.4</v>
      </c>
      <c r="F57" s="4">
        <v>15.15</v>
      </c>
      <c r="G57" s="4">
        <v>16.100000000000001</v>
      </c>
      <c r="H57" s="4">
        <v>1.0731481481481482</v>
      </c>
      <c r="I57" s="4" t="s">
        <v>196</v>
      </c>
      <c r="J57" s="4">
        <v>22.26</v>
      </c>
      <c r="K57" s="4">
        <v>6.76</v>
      </c>
      <c r="L57" s="4">
        <v>112</v>
      </c>
      <c r="M57" s="4">
        <v>76</v>
      </c>
      <c r="N57" s="4" t="s">
        <v>192</v>
      </c>
    </row>
    <row r="58" spans="1:14" x14ac:dyDescent="0.25">
      <c r="A58" s="4" t="s">
        <v>259</v>
      </c>
      <c r="B58" s="4" t="s">
        <v>168</v>
      </c>
      <c r="C58" s="4" t="s">
        <v>326</v>
      </c>
      <c r="D58" s="4">
        <v>35.67</v>
      </c>
      <c r="E58" s="4">
        <v>35.31</v>
      </c>
      <c r="F58" s="4">
        <v>7.3</v>
      </c>
      <c r="G58" s="4">
        <v>13.9</v>
      </c>
      <c r="H58" s="4">
        <v>1.0101954120645709</v>
      </c>
      <c r="I58" s="4" t="s">
        <v>196</v>
      </c>
      <c r="J58" s="4">
        <v>24.96</v>
      </c>
      <c r="K58" s="4">
        <v>7.3</v>
      </c>
      <c r="L58" s="4">
        <v>123</v>
      </c>
      <c r="M58" s="4">
        <v>74</v>
      </c>
      <c r="N58" s="9">
        <v>0</v>
      </c>
    </row>
    <row r="59" spans="1:14" x14ac:dyDescent="0.25">
      <c r="A59" s="4" t="s">
        <v>260</v>
      </c>
      <c r="B59" s="4" t="s">
        <v>168</v>
      </c>
      <c r="C59" s="4" t="s">
        <v>326</v>
      </c>
      <c r="D59" s="4">
        <v>30.1</v>
      </c>
      <c r="E59" s="4">
        <v>24.66</v>
      </c>
      <c r="F59" s="4">
        <v>6.66</v>
      </c>
      <c r="G59" s="4">
        <v>4.5999999999999996</v>
      </c>
      <c r="H59" s="4">
        <v>1.2206001622060016</v>
      </c>
      <c r="I59" s="4" t="s">
        <v>196</v>
      </c>
      <c r="J59" s="4">
        <v>15.19</v>
      </c>
      <c r="K59" s="4">
        <v>3.37</v>
      </c>
      <c r="L59" s="4">
        <v>102</v>
      </c>
      <c r="M59" s="4">
        <v>85</v>
      </c>
      <c r="N59" s="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Quina scraper</vt:lpstr>
      <vt:lpstr>Resharpening flake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2024-11-15T08:16:35Z</dcterms:created>
  <dcterms:modified xsi:type="dcterms:W3CDTF">2026-06-19T01:18:43Z</dcterms:modified>
</cp:coreProperties>
</file>